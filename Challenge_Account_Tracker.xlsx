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ules" sheetId="2" state="visible" r:id="rId4"/>
    <sheet name="Cash Flow" sheetId="3" state="visible" r:id="rId5"/>
    <sheet name="Positions" sheetId="4" state="visible" r:id="rId6"/>
    <sheet name="Trade Log" sheetId="5" state="visible" r:id="rId7"/>
    <sheet name="Milestones" sheetId="6" state="visible" r:id="rId8"/>
    <sheet name="Tax Reserve" sheetId="7" state="visible" r:id="rId9"/>
    <sheet name="Benchmark" sheetId="8" state="visible" r:id="rId10"/>
    <sheet name="Parked Pil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<sst xmlns="http://schemas.openxmlformats.org/spreadsheetml/2006/main" count="229" uniqueCount="188">
  <si>
    <t xml:space="preserve">CHALLENGE ACCOUNT SCOREBOARD</t>
  </si>
  <si>
    <t xml:space="preserve">Aspiration: $1,000,000  |  Structure: ride hard below $100k, bank 25% at every double after</t>
  </si>
  <si>
    <t xml:space="preserve">Account value (positions + cash)</t>
  </si>
  <si>
    <t xml:space="preserve">Live from Positions tab</t>
  </si>
  <si>
    <t xml:space="preserve">Banked floors (locked forever)</t>
  </si>
  <si>
    <t xml:space="preserve">From Milestones tab — never goes back on the table</t>
  </si>
  <si>
    <t xml:space="preserve">Tax reserved to date</t>
  </si>
  <si>
    <t xml:space="preserve">Quarterly 30% skims actually moved</t>
  </si>
  <si>
    <t xml:space="preserve">TOTAL SCORE (account + banked + reserved)</t>
  </si>
  <si>
    <t xml:space="preserve">This is the number that measures success</t>
  </si>
  <si>
    <t xml:space="preserve">Next milestone</t>
  </si>
  <si>
    <t xml:space="preserve">Bank 25% when you cross it</t>
  </si>
  <si>
    <t xml:space="preserve">Distance to next milestone</t>
  </si>
  <si>
    <t xml:space="preserve">Progress to $1M aspiration</t>
  </si>
  <si>
    <t xml:space="preserve">Direction, not a verdict</t>
  </si>
  <si>
    <t xml:space="preserve">Net realized gains this tax year</t>
  </si>
  <si>
    <t xml:space="preserve">Drives the quarterly tax skim</t>
  </si>
  <si>
    <t xml:space="preserve">Lead vs VOO shadow</t>
  </si>
  <si>
    <t xml:space="preserve">The honest test — positive after 12 months = real edge</t>
  </si>
  <si>
    <t xml:space="preserve">Parked pile total (context only — NOT in score)</t>
  </si>
  <si>
    <t xml:space="preserve">The foundation. Funding source and skim destination — never refill fuel</t>
  </si>
  <si>
    <t xml:space="preserve">Net contributed to challenge account</t>
  </si>
  <si>
    <t xml:space="preserve">True stake so far — from the Cash Flow ledger</t>
  </si>
  <si>
    <t xml:space="preserve">HOW TO USE</t>
  </si>
  <si>
    <t xml:space="preserve">1. Positions tab: enter each buy (blue cells). Update Current Price column to refresh the score.</t>
  </si>
  <si>
    <t xml:space="preserve">2. Trade Log: log every close. The YTD realized number feeds the tax skim.</t>
  </si>
  <si>
    <t xml:space="preserve">3. Tax Reserve: once a quarter, enter YTD realized gains, move 30% out of play, mark Y.</t>
  </si>
  <si>
    <t xml:space="preserve">4. Milestones: when the Dashboard shows a milestone hit, bank 25% into VOO, record it. Status column will tell you.</t>
  </si>
  <si>
    <t xml:space="preserve">5. Benchmark: every time you deposit money, add a row with that day's VOO price. Check the lead monthly.</t>
  </si>
  <si>
    <t xml:space="preserve">6. Rules tab: read it after every big win and every big loss. Especially the wins.</t>
  </si>
  <si>
    <t xml:space="preserve">LEGEND: Blue text = you type it. Black = formula, leave alone. Green = pulls from another tab. Yellow fill = key inputs.</t>
  </si>
  <si>
    <t xml:space="preserve">CHALLENGE ACCOUNT — THE RULES</t>
  </si>
  <si>
    <t xml:space="preserve">Written while calm. The person who wrote these is smarter about risk than the person staring at a big number later.</t>
  </si>
  <si>
    <t xml:space="preserve">THE GOAL</t>
  </si>
  <si>
    <t xml:space="preserve">Compound aggressively, lock in floors as you climb, and let the final height be the prize. $1M is the aspiration, not a pass/fail line. Every banked dollar is a retirement upgrade already purchased.</t>
  </si>
  <si>
    <t xml:space="preserve">MONEY MANAGEMENT</t>
  </si>
  <si>
    <t xml:space="preserve">1. Below $100,000: everything rides. Full aggression, no skims except the tax reserve.</t>
  </si>
  <si>
    <t xml:space="preserve">2. At $100,000 and at every double after (200k, 400k, 800k): bank 25% of the account into VOO in the parked pile. Banked money NEVER returns to the table.</t>
  </si>
  <si>
    <t xml:space="preserve">3. Tax reserve: every quarter, move 30% of net realized gains YTD out of play. This rule is non-negotiable. It is what makes a blown account a shrug instead of a debt.</t>
  </si>
  <si>
    <t xml:space="preserve">4. The bankroll is never refilled from the parked pile (NVDA, TSLA, MU, AMAT, and the other winners). New money comes only from scheduled long-term trims or fresh income.</t>
  </si>
  <si>
    <t xml:space="preserve">5. Stake additions: only from long-term trims (held &gt;1 year) to avoid short-term tax rates.</t>
  </si>
  <si>
    <t xml:space="preserve">TRADING GUARDRAILS (the Xu rules)</t>
  </si>
  <si>
    <t xml:space="preserve">6. No margin. No options. No chasing stocks that have already run.</t>
  </si>
  <si>
    <t xml:space="preserve">7. Defined exit before entry. Every position gets a target and a bail point written in the Trade Log at open.</t>
  </si>
  <si>
    <t xml:space="preserve">8. No rebuying a name sold at a loss within 31 days — in ANY account (Robinhood, Cash App, Stash). Wash sales cross brokerages.</t>
  </si>
  <si>
    <t xml:space="preserve">SCOREKEEPING</t>
  </si>
  <si>
    <t xml:space="preserve">9. The benchmark is VOO after tax. Beating it over rolling 12 months is what proves an edge. If the edge is proven, adding capital is investing. If not, the experiment answered the question cheaply.</t>
  </si>
  <si>
    <t xml:space="preserve">10. Success = banked pile + account value when done. Ending at $180k means winning $180k, not missing 82% of a million.</t>
  </si>
  <si>
    <t xml:space="preserve">CASH LEDGER — every dollar in, out, and deployed</t>
  </si>
  <si>
    <t xml:space="preserve">Log each event. Types that ADD cash: Deposit, Sell, Dividend. Types that REMOVE cash: Buy, Withdrawal, Tax Skim, Milestone Bank, Fee. Amount is always positive — the Type decides the direction.</t>
  </si>
  <si>
    <t xml:space="preserve">Date</t>
  </si>
  <si>
    <t xml:space="preserve">Type</t>
  </si>
  <si>
    <t xml:space="preserve">Amount</t>
  </si>
  <si>
    <t xml:space="preserve">Ticker</t>
  </si>
  <si>
    <t xml:space="preserve">Source / Destination</t>
  </si>
  <si>
    <t xml:space="preserve">Notes</t>
  </si>
  <si>
    <t xml:space="preserve">Running Cash</t>
  </si>
  <si>
    <t xml:space="preserve">Deposit</t>
  </si>
  <si>
    <t xml:space="preserve">Cash App sales</t>
  </si>
  <si>
    <t xml:space="preserve">EXAMPLE — initial funding from loser/dead-weight sales</t>
  </si>
  <si>
    <t xml:space="preserve">Buy</t>
  </si>
  <si>
    <t xml:space="preserve">NBIS</t>
  </si>
  <si>
    <t xml:space="preserve">EXAMPLE — matches Positions example row</t>
  </si>
  <si>
    <t xml:space="preserve">SUMMARY</t>
  </si>
  <si>
    <t xml:space="preserve">Total deposits</t>
  </si>
  <si>
    <t xml:space="preserve">Total withdrawals</t>
  </si>
  <si>
    <t xml:space="preserve">NET CONTRIBUTED (deposits - withdrawals)</t>
  </si>
  <si>
    <t xml:space="preserve">Total buys</t>
  </si>
  <si>
    <t xml:space="preserve">Total sells</t>
  </si>
  <si>
    <t xml:space="preserve">Dividends received</t>
  </si>
  <si>
    <t xml:space="preserve">Tax skims moved out</t>
  </si>
  <si>
    <t xml:space="preserve">Milestone banks moved out</t>
  </si>
  <si>
    <t xml:space="preserve">Fees paid</t>
  </si>
  <si>
    <t xml:space="preserve">CURRENT CASH BALANCE</t>
  </si>
  <si>
    <t xml:space="preserve">Funding-phase check: NET CONTRIBUTED is your true stake. Every Deposit row here should also get a row on the Benchmark tab with that day's VOO price, so the shadow stays honest.</t>
  </si>
  <si>
    <t xml:space="preserve">OPEN POSITIONS — Challenge Account</t>
  </si>
  <si>
    <t xml:space="preserve">Blue cells are yours to edit. Update Current Price whenever you check the score. Delete the example row when you make your first trade.</t>
  </si>
  <si>
    <t xml:space="preserve">Buy Date</t>
  </si>
  <si>
    <t xml:space="preserve">Shares</t>
  </si>
  <si>
    <t xml:space="preserve">Avg Cost</t>
  </si>
  <si>
    <t xml:space="preserve">Cost Basis</t>
  </si>
  <si>
    <t xml:space="preserve">Current Price</t>
  </si>
  <si>
    <t xml:space="preserve">Market Value</t>
  </si>
  <si>
    <t xml:space="preserve">Unrealized $</t>
  </si>
  <si>
    <t xml:space="preserve">Unrealized %</t>
  </si>
  <si>
    <t xml:space="preserve">Days Held</t>
  </si>
  <si>
    <t xml:space="preserve">Long-Term On</t>
  </si>
  <si>
    <t xml:space="preserve">Exit Target $</t>
  </si>
  <si>
    <t xml:space="preserve">Bail Point $</t>
  </si>
  <si>
    <t xml:space="preserve">Thesis / Catalyst</t>
  </si>
  <si>
    <t xml:space="preserve">EXAMPLE ROW — replace with your first pick. AI infra momentum, target +28%.</t>
  </si>
  <si>
    <t xml:space="preserve">TOTAL INVESTED</t>
  </si>
  <si>
    <t xml:space="preserve">Cash in account (auto from Cash Flow tab)</t>
  </si>
  <si>
    <t xml:space="preserve">ACCOUNT TOTAL (positions + cash)</t>
  </si>
  <si>
    <t xml:space="preserve">CLOSED TRADES</t>
  </si>
  <si>
    <t xml:space="preserve">Log every close. ST = held 365 days or less (taxed ~28-30%). LT = held over a year (~21%). Flag wash sales so you don't count disallowed losses.</t>
  </si>
  <si>
    <t xml:space="preserve">Open Date</t>
  </si>
  <si>
    <t xml:space="preserve">Close Date</t>
  </si>
  <si>
    <t xml:space="preserve">Proceeds</t>
  </si>
  <si>
    <t xml:space="preserve">Realized Gain $</t>
  </si>
  <si>
    <t xml:space="preserve">Realized %</t>
  </si>
  <si>
    <t xml:space="preserve">ST / LT</t>
  </si>
  <si>
    <t xml:space="preserve">Tax Year</t>
  </si>
  <si>
    <t xml:space="preserve">Wash Sale? (Y/N)</t>
  </si>
  <si>
    <t xml:space="preserve">MU</t>
  </si>
  <si>
    <t xml:space="preserve">N</t>
  </si>
  <si>
    <t xml:space="preserve">EXAMPLE ROW (your realized MU gain lives in Cash App, not here) — replace.</t>
  </si>
  <si>
    <t xml:space="preserve">Net realized — current tax year:</t>
  </si>
  <si>
    <t xml:space="preserve">(excludes wash-sale-flagged losses)</t>
  </si>
  <si>
    <t xml:space="preserve">MILESTONES &amp; BANKED FLOORS</t>
  </si>
  <si>
    <t xml:space="preserve">Below $100k everything rides. At each milestone, bank 25% of the account value into VOO in the parked pile. Banked money never returns.</t>
  </si>
  <si>
    <t xml:space="preserve">Milestone</t>
  </si>
  <si>
    <t xml:space="preserve">Account Value at Hit</t>
  </si>
  <si>
    <t xml:space="preserve">Skim (25%)</t>
  </si>
  <si>
    <t xml:space="preserve">Date Hit</t>
  </si>
  <si>
    <t xml:space="preserve">Actually Banked $</t>
  </si>
  <si>
    <t xml:space="preserve">Where Parked</t>
  </si>
  <si>
    <t xml:space="preserve">Cumulative Floor</t>
  </si>
  <si>
    <t xml:space="preserve">Status</t>
  </si>
  <si>
    <t xml:space="preserve">Note: $1M row is the aspiration marker. If the account doubles past $800k, keep adding rows (1.6M...) with the same 25% rule.</t>
  </si>
  <si>
    <t xml:space="preserve">TOTAL BANKED (the floor)</t>
  </si>
  <si>
    <t xml:space="preserve">QUARTERLY TAX SKIM — 30% of net realized gains</t>
  </si>
  <si>
    <t xml:space="preserve">The rule that prevents the 2018 Kevin Xu problem: owing tax on gains that later losses already vaporized. Check quarterly. If net realized YTD is negative, nothing to reserve.</t>
  </si>
  <si>
    <t xml:space="preserve">Quarter</t>
  </si>
  <si>
    <t xml:space="preserve">Check Date</t>
  </si>
  <si>
    <t xml:space="preserve">Net Realized Gain YTD</t>
  </si>
  <si>
    <t xml:space="preserve">Reserve Target (30%)</t>
  </si>
  <si>
    <t xml:space="preserve">Already Reserved</t>
  </si>
  <si>
    <t xml:space="preserve">Move Out Now</t>
  </si>
  <si>
    <t xml:space="preserve">Moved? (Y/N)</t>
  </si>
  <si>
    <t xml:space="preserve">Q3 2026</t>
  </si>
  <si>
    <t xml:space="preserve">Q4 2026</t>
  </si>
  <si>
    <t xml:space="preserve">Q1 2027</t>
  </si>
  <si>
    <t xml:space="preserve">Q2 2027</t>
  </si>
  <si>
    <t xml:space="preserve">Q3 2027</t>
  </si>
  <si>
    <t xml:space="preserve">Q4 2027</t>
  </si>
  <si>
    <t xml:space="preserve">Tip: Column C for the challenge account = 'Net realized — current tax year' on the Trade Log tab. Enter it manually so cross-year rollovers stay under your control.</t>
  </si>
  <si>
    <t xml:space="preserve">SCOREBOARD vs VOO — the honest test</t>
  </si>
  <si>
    <t xml:space="preserve">Every deposit gets a shadow: what if that same money had bought VOO that day? Beat the shadow after tax for 12 months and the edge is real.</t>
  </si>
  <si>
    <t xml:space="preserve">DEPOSITS &amp; SHADOW VOO PURCHASES</t>
  </si>
  <si>
    <t xml:space="preserve">Deposit Date</t>
  </si>
  <si>
    <t xml:space="preserve">Amount In</t>
  </si>
  <si>
    <t xml:space="preserve">VOO Price That Day</t>
  </si>
  <si>
    <t xml:space="preserve">Shadow VOO Shares</t>
  </si>
  <si>
    <t xml:space="preserve">EXAMPLE ROW — set real date, amount, and that day's VOO price.</t>
  </si>
  <si>
    <t xml:space="preserve">SCORE CHECK</t>
  </si>
  <si>
    <t xml:space="preserve">VOO price today</t>
  </si>
  <si>
    <t xml:space="preserve">Total deposited</t>
  </si>
  <si>
    <t xml:space="preserve">Shadow VOO value today</t>
  </si>
  <si>
    <t xml:space="preserve">Your side: account + banked floors + tax reserved</t>
  </si>
  <si>
    <t xml:space="preserve">LEAD vs VOO</t>
  </si>
  <si>
    <t xml:space="preserve">Lead %</t>
  </si>
  <si>
    <t xml:space="preserve">Note: this compares pre-tax account value to a buy-and-hold VOO shadow. Your real hurdle is higher: short-term trades pay ~28-30% on gains while VOO held long-term pays ~21% only when sold. If the lead is thin, VOO is winning after tax.</t>
  </si>
  <si>
    <t xml:space="preserve">PARKED PILE — the foundation. NOT part of the challenge score.</t>
  </si>
  <si>
    <t xml:space="preserve">Fill in Buy Date (blue) for each position — oldest lot if you bought in pieces. LT Status flips to FUNDING UNLOCKED when a trim gets long-term tax rates (~21% vs ~28-30%).</t>
  </si>
  <si>
    <t xml:space="preserve">Account</t>
  </si>
  <si>
    <t xml:space="preserve">Category</t>
  </si>
  <si>
    <t xml:space="preserve">LT Status</t>
  </si>
  <si>
    <t xml:space="preserve">Trim Rank</t>
  </si>
  <si>
    <t xml:space="preserve">Cash App</t>
  </si>
  <si>
    <t xml:space="preserve">Semi/AI</t>
  </si>
  <si>
    <t xml:space="preserve">Biggest gain, biggest position — trim first</t>
  </si>
  <si>
    <t xml:space="preserve">AMAT</t>
  </si>
  <si>
    <t xml:space="preserve">AMKR</t>
  </si>
  <si>
    <t xml:space="preserve">ASML</t>
  </si>
  <si>
    <t xml:space="preserve">SOXX</t>
  </si>
  <si>
    <t xml:space="preserve">AMD</t>
  </si>
  <si>
    <t xml:space="preserve">AVGO</t>
  </si>
  <si>
    <t xml:space="preserve">GOOGL</t>
  </si>
  <si>
    <t xml:space="preserve">AI-adjacent</t>
  </si>
  <si>
    <t xml:space="preserve">GLW</t>
  </si>
  <si>
    <t xml:space="preserve">Optical fiber for AI data centers</t>
  </si>
  <si>
    <t xml:space="preserve">NVDA</t>
  </si>
  <si>
    <t xml:space="preserve">Robinhood</t>
  </si>
  <si>
    <t xml:space="preserve">From Stash ACATS — fill shares/cost when it lands</t>
  </si>
  <si>
    <t xml:space="preserve">TSLA</t>
  </si>
  <si>
    <t xml:space="preserve">Other</t>
  </si>
  <si>
    <t xml:space="preserve">MSTR</t>
  </si>
  <si>
    <t xml:space="preserve">BTC</t>
  </si>
  <si>
    <t xml:space="preserve">Conviction hold — separate bucket, not trim fuel</t>
  </si>
  <si>
    <t xml:space="preserve">TOTAL PARKED</t>
  </si>
  <si>
    <t xml:space="preserve">CONCENTRATION WATCH</t>
  </si>
  <si>
    <t xml:space="preserve">Semi/AI value</t>
  </si>
  <si>
    <t xml:space="preserve">Semi/AI + AI-adjacent</t>
  </si>
  <si>
    <t xml:space="preserve">Semi/AI % of pile</t>
  </si>
  <si>
    <t xml:space="preserve">Semi/AI + adjacent % of pile</t>
  </si>
  <si>
    <t xml:space="preserve">Target cap (edit)</t>
  </si>
  <si>
    <t xml:space="preserve">Trim discipline: when a lot goes long-term, trim from Semi/AI first (double duty: fund the challenge account AND reduce concentration). Milestone skims from the challenge account buy VOO here.</t>
  </si>
</sst>
</file>

<file path=xl/styles.xml><?xml version="1.0" encoding="utf-8"?>
<styleSheet xmlns="http://schemas.openxmlformats.org/spreadsheetml/2006/main">
  <numFmts count="9">
    <numFmt numFmtId="164" formatCode="General"/>
    <numFmt numFmtId="165" formatCode="\$#,##0;&quot;($&quot;#,##0\);\-"/>
    <numFmt numFmtId="166" formatCode="0.0%;\(0.0%\);\-"/>
    <numFmt numFmtId="167" formatCode="\$#,##0;&quot;($&quot;#,##0\);\-"/>
    <numFmt numFmtId="168" formatCode="mm/dd/yyyy"/>
    <numFmt numFmtId="169" formatCode="\$#,##0.00;&quot;($&quot;#,##0.00\);\-"/>
    <numFmt numFmtId="170" formatCode="0.0000"/>
    <numFmt numFmtId="171" formatCode="\$#,##0.00;&quot;($&quot;#,##0.00\);\-"/>
    <numFmt numFmtId="172" formatCode="0"/>
  </numFmts>
  <fonts count="20">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name val="Arial"/>
      <family val="0"/>
      <charset val="1"/>
    </font>
    <font>
      <sz val="10"/>
      <name val="Arial"/>
      <family val="0"/>
      <charset val="1"/>
    </font>
    <font>
      <sz val="10"/>
      <color rgb="FF008000"/>
      <name val="Arial"/>
      <family val="0"/>
      <charset val="1"/>
    </font>
    <font>
      <i val="true"/>
      <sz val="9"/>
      <color rgb="FF808080"/>
      <name val="Arial"/>
      <family val="0"/>
      <charset val="1"/>
    </font>
    <font>
      <b val="true"/>
      <sz val="11"/>
      <name val="Arial"/>
      <family val="0"/>
      <charset val="1"/>
    </font>
    <font>
      <b val="true"/>
      <sz val="13"/>
      <name val="Arial"/>
      <family val="0"/>
      <charset val="1"/>
    </font>
    <font>
      <sz val="9"/>
      <name val="Arial"/>
      <family val="0"/>
      <charset val="1"/>
    </font>
    <font>
      <b val="true"/>
      <sz val="14"/>
      <name val="Arial"/>
      <family val="0"/>
      <charset val="1"/>
    </font>
    <font>
      <i val="true"/>
      <sz val="9"/>
      <name val="Arial"/>
      <family val="0"/>
      <charset val="1"/>
    </font>
    <font>
      <b val="true"/>
      <sz val="10"/>
      <color rgb="FFFFFFFF"/>
      <name val="Arial"/>
      <family val="0"/>
      <charset val="1"/>
    </font>
    <font>
      <sz val="10"/>
      <color rgb="FF0000FF"/>
      <name val="Arial"/>
      <family val="0"/>
      <charset val="1"/>
    </font>
    <font>
      <sz val="10"/>
      <color rgb="FF000000"/>
      <name val="Arial"/>
      <family val="0"/>
      <charset val="1"/>
    </font>
    <font>
      <b val="true"/>
      <sz val="10"/>
      <name val="Arial"/>
      <family val="0"/>
      <charset val="1"/>
    </font>
    <font>
      <b val="true"/>
      <sz val="12"/>
      <name val="Arial"/>
      <family val="0"/>
      <charset val="1"/>
    </font>
    <font>
      <i val="true"/>
      <sz val="9"/>
      <color rgb="FF0000FF"/>
      <name val="Arial"/>
      <family val="0"/>
      <charset val="1"/>
    </font>
  </fonts>
  <fills count="6">
    <fill>
      <patternFill patternType="none"/>
    </fill>
    <fill>
      <patternFill patternType="gray125"/>
    </fill>
    <fill>
      <patternFill patternType="solid">
        <fgColor rgb="FFE2EFDA"/>
        <bgColor rgb="FFF2F2F2"/>
      </patternFill>
    </fill>
    <fill>
      <patternFill patternType="solid">
        <fgColor rgb="FF1F3864"/>
        <bgColor rgb="FF333333"/>
      </patternFill>
    </fill>
    <fill>
      <patternFill patternType="solid">
        <fgColor rgb="FFF2F2F2"/>
        <bgColor rgb="FFE2EFDA"/>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0" fillId="2"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8" fontId="15"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69" fontId="16"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9" fillId="4"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67" fontId="9" fillId="5"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false" indent="0" shrinkToFit="false"/>
      <protection locked="true" hidden="false"/>
    </xf>
    <xf numFmtId="168" fontId="15" fillId="0" borderId="1" xfId="0" applyFont="true" applyBorder="true" applyAlignment="true" applyProtection="false">
      <alignment horizontal="general" vertical="bottom" textRotation="0" wrapText="false" indent="0" shrinkToFit="false"/>
      <protection locked="true" hidden="false"/>
    </xf>
    <xf numFmtId="170" fontId="15" fillId="0" borderId="1" xfId="0" applyFont="true" applyBorder="true" applyAlignment="true" applyProtection="false">
      <alignment horizontal="general" vertical="bottom" textRotation="0" wrapText="false" indent="0" shrinkToFit="false"/>
      <protection locked="true" hidden="false"/>
    </xf>
    <xf numFmtId="171" fontId="15" fillId="0" borderId="1" xfId="0" applyFont="true" applyBorder="true" applyAlignment="true" applyProtection="false">
      <alignment horizontal="general" vertical="bottom" textRotation="0" wrapText="false" indent="0" shrinkToFit="false"/>
      <protection locked="true" hidden="false"/>
    </xf>
    <xf numFmtId="171" fontId="16" fillId="0" borderId="1" xfId="0" applyFont="true" applyBorder="true" applyAlignment="true" applyProtection="false">
      <alignment horizontal="general" vertical="bottom" textRotation="0" wrapText="false" indent="0" shrinkToFit="false"/>
      <protection locked="true" hidden="false"/>
    </xf>
    <xf numFmtId="166" fontId="16" fillId="0" borderId="1" xfId="0" applyFont="true" applyBorder="true" applyAlignment="true" applyProtection="false">
      <alignment horizontal="general" vertical="bottom" textRotation="0" wrapText="false" indent="0" shrinkToFit="false"/>
      <protection locked="true" hidden="false"/>
    </xf>
    <xf numFmtId="172" fontId="16" fillId="0" borderId="1" xfId="0" applyFont="true" applyBorder="true" applyAlignment="true" applyProtection="false">
      <alignment horizontal="general" vertical="bottom" textRotation="0" wrapText="false" indent="0" shrinkToFit="false"/>
      <protection locked="true" hidden="false"/>
    </xf>
    <xf numFmtId="168" fontId="16" fillId="0" borderId="1" xfId="0" applyFont="true" applyBorder="true" applyAlignment="true" applyProtection="false">
      <alignment horizontal="general" vertical="bottom" textRotation="0" wrapText="false" indent="0" shrinkToFit="false"/>
      <protection locked="true" hidden="false"/>
    </xf>
    <xf numFmtId="165" fontId="17" fillId="4" borderId="0" xfId="0" applyFont="true" applyBorder="false" applyAlignment="true" applyProtection="false">
      <alignment horizontal="general" vertical="bottom" textRotation="0" wrapText="false" indent="0" shrinkToFit="false"/>
      <protection locked="true" hidden="false"/>
    </xf>
    <xf numFmtId="166" fontId="17" fillId="4" borderId="0" xfId="0" applyFont="true" applyBorder="false" applyAlignment="true" applyProtection="false">
      <alignment horizontal="general" vertical="bottom" textRotation="0" wrapText="false" indent="0" shrinkToFit="false"/>
      <protection locked="true" hidden="false"/>
    </xf>
    <xf numFmtId="165" fontId="7" fillId="5" borderId="1" xfId="0" applyFont="true" applyBorder="true" applyAlignment="true" applyProtection="false">
      <alignment horizontal="general" vertical="bottom" textRotation="0" wrapText="false" indent="0" shrinkToFit="false"/>
      <protection locked="true" hidden="false"/>
    </xf>
    <xf numFmtId="165" fontId="9" fillId="4" borderId="0" xfId="0" applyFont="tru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5" fontId="17" fillId="0" borderId="1" xfId="0" applyFont="true" applyBorder="true" applyAlignment="true" applyProtection="false">
      <alignment horizontal="general" vertical="bottom" textRotation="0" wrapText="false" indent="0" shrinkToFit="false"/>
      <protection locked="true" hidden="false"/>
    </xf>
    <xf numFmtId="165" fontId="15" fillId="0" borderId="1" xfId="0" applyFont="true" applyBorder="true" applyAlignment="true" applyProtection="false">
      <alignment horizontal="general" vertical="bottom" textRotation="0" wrapText="false" indent="0" shrinkToFit="false"/>
      <protection locked="true" hidden="false"/>
    </xf>
    <xf numFmtId="165" fontId="16" fillId="0" borderId="1" xfId="0" applyFont="true" applyBorder="true" applyAlignment="true" applyProtection="false">
      <alignment horizontal="general" vertical="bottom" textRotation="0" wrapText="false" indent="0" shrinkToFit="false"/>
      <protection locked="true" hidden="false"/>
    </xf>
    <xf numFmtId="165" fontId="16" fillId="2"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18" fillId="2"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70" fontId="16" fillId="0" borderId="1" xfId="0" applyFont="true" applyBorder="tru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71" fontId="15" fillId="5" borderId="1" xfId="0" applyFont="true" applyBorder="tru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general" vertical="bottom" textRotation="0" wrapText="false" indent="0" shrinkToFit="false"/>
      <protection locked="true" hidden="false"/>
    </xf>
    <xf numFmtId="165" fontId="18" fillId="4" borderId="0" xfId="0" applyFont="true" applyBorder="false" applyAlignment="true" applyProtection="false">
      <alignment horizontal="general" vertical="bottom" textRotation="0" wrapText="false" indent="0" shrinkToFit="false"/>
      <protection locked="true" hidden="false"/>
    </xf>
    <xf numFmtId="166" fontId="16" fillId="0" borderId="0" xfId="0" applyFont="true" applyBorder="false" applyAlignment="true" applyProtection="false">
      <alignment horizontal="general" vertical="bottom" textRotation="0" wrapText="false" indent="0" shrinkToFit="false"/>
      <protection locked="true" hidden="false"/>
    </xf>
    <xf numFmtId="166" fontId="15" fillId="5" borderId="1"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60"/>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c r="B4" s="5" t="n">
        <f aca="false">Positions!E29</f>
        <v>6000.004</v>
      </c>
      <c r="C4" s="6" t="s">
        <v>3</v>
      </c>
    </row>
    <row r="5" customFormat="false" ht="15" hidden="false" customHeight="true" outlineLevel="0" collapsed="false">
      <c r="A5" s="4" t="s">
        <v>4</v>
      </c>
      <c r="B5" s="5" t="n">
        <f aca="false">Milestones!E13</f>
        <v>0</v>
      </c>
      <c r="C5" s="6" t="s">
        <v>5</v>
      </c>
    </row>
    <row r="6" customFormat="false" ht="15" hidden="false" customHeight="true" outlineLevel="0" collapsed="false">
      <c r="A6" s="4" t="s">
        <v>6</v>
      </c>
      <c r="B6" s="5" t="n">
        <f aca="false">SUMIFS('Tax Reserve'!F5:F10,'Tax Reserve'!G5:G10,"Y")</f>
        <v>0</v>
      </c>
      <c r="C6" s="6" t="s">
        <v>7</v>
      </c>
    </row>
    <row r="7" customFormat="false" ht="15.75" hidden="false" customHeight="true" outlineLevel="0" collapsed="false">
      <c r="A7" s="7" t="s">
        <v>8</v>
      </c>
      <c r="B7" s="8" t="n">
        <f aca="false">B4+B5+B6</f>
        <v>6000.004</v>
      </c>
      <c r="C7" s="6" t="s">
        <v>9</v>
      </c>
    </row>
    <row r="8" customFormat="false" ht="15" hidden="false" customHeight="true" outlineLevel="0" collapsed="false">
      <c r="A8" s="4"/>
      <c r="C8" s="6"/>
    </row>
    <row r="9" customFormat="false" ht="15" hidden="false" customHeight="true" outlineLevel="0" collapsed="false">
      <c r="A9" s="4" t="s">
        <v>10</v>
      </c>
      <c r="B9" s="5" t="n">
        <f aca="false">IF(Positions!E29&lt;100000,100000,IF(Positions!E29&lt;200000,200000,IF(Positions!E29&lt;400000,400000,IF(Positions!E29&lt;800000,800000,1000000))))</f>
        <v>100000</v>
      </c>
      <c r="C9" s="6" t="s">
        <v>11</v>
      </c>
    </row>
    <row r="10" customFormat="false" ht="15" hidden="false" customHeight="true" outlineLevel="0" collapsed="false">
      <c r="A10" s="4" t="s">
        <v>12</v>
      </c>
      <c r="B10" s="5" t="n">
        <f aca="false">B9-Positions!E29</f>
        <v>93999.996</v>
      </c>
      <c r="C10" s="6"/>
    </row>
    <row r="11" customFormat="false" ht="15" hidden="false" customHeight="true" outlineLevel="0" collapsed="false">
      <c r="A11" s="4" t="s">
        <v>13</v>
      </c>
      <c r="B11" s="9" t="n">
        <f aca="false">B7/1000000</f>
        <v>0.006000004</v>
      </c>
      <c r="C11" s="6" t="s">
        <v>14</v>
      </c>
    </row>
    <row r="12" customFormat="false" ht="15" hidden="false" customHeight="true" outlineLevel="0" collapsed="false">
      <c r="A12" s="4"/>
      <c r="C12" s="6"/>
    </row>
    <row r="13" customFormat="false" ht="15" hidden="false" customHeight="true" outlineLevel="0" collapsed="false">
      <c r="A13" s="4" t="s">
        <v>15</v>
      </c>
      <c r="B13" s="5" t="n">
        <f aca="false">'Trade Log'!G48</f>
        <v>1455.11</v>
      </c>
      <c r="C13" s="6" t="s">
        <v>16</v>
      </c>
    </row>
    <row r="14" customFormat="false" ht="15" hidden="false" customHeight="true" outlineLevel="0" collapsed="false">
      <c r="A14" s="4" t="s">
        <v>17</v>
      </c>
      <c r="B14" s="5" t="n">
        <f aca="false">Benchmark!B26</f>
        <v>0.00399999999990541</v>
      </c>
      <c r="C14" s="6" t="s">
        <v>18</v>
      </c>
    </row>
    <row r="15" customFormat="false" ht="15" hidden="false" customHeight="true" outlineLevel="0" collapsed="false">
      <c r="A15" s="4" t="s">
        <v>19</v>
      </c>
      <c r="B15" s="5" t="n">
        <f aca="false">'Parked Pile'!H19</f>
        <v>22597.250383479</v>
      </c>
      <c r="C15" s="6" t="s">
        <v>20</v>
      </c>
    </row>
    <row r="16" customFormat="false" ht="15" hidden="false" customHeight="false" outlineLevel="0" collapsed="false">
      <c r="A16" s="10" t="s">
        <v>21</v>
      </c>
      <c r="B16" s="11" t="n">
        <f aca="false">'Cash Flow'!B69</f>
        <v>6000</v>
      </c>
      <c r="C16" s="12" t="s">
        <v>22</v>
      </c>
    </row>
    <row r="17" customFormat="false" ht="15" hidden="false" customHeight="true" outlineLevel="0" collapsed="false">
      <c r="A17" s="7" t="s">
        <v>23</v>
      </c>
    </row>
    <row r="18" customFormat="false" ht="15" hidden="false" customHeight="true" outlineLevel="0" collapsed="false">
      <c r="A18" s="13" t="s">
        <v>24</v>
      </c>
    </row>
    <row r="19" customFormat="false" ht="15" hidden="false" customHeight="true" outlineLevel="0" collapsed="false">
      <c r="A19" s="13" t="s">
        <v>25</v>
      </c>
    </row>
    <row r="20" customFormat="false" ht="15" hidden="false" customHeight="true" outlineLevel="0" collapsed="false">
      <c r="A20" s="13" t="s">
        <v>26</v>
      </c>
    </row>
    <row r="21" customFormat="false" ht="15" hidden="false" customHeight="true" outlineLevel="0" collapsed="false">
      <c r="A21" s="13" t="s">
        <v>27</v>
      </c>
    </row>
    <row r="22" customFormat="false" ht="15" hidden="false" customHeight="true" outlineLevel="0" collapsed="false">
      <c r="A22" s="13" t="s">
        <v>28</v>
      </c>
    </row>
    <row r="23" customFormat="false" ht="15" hidden="false" customHeight="true" outlineLevel="0" collapsed="false">
      <c r="A23" s="13" t="s">
        <v>29</v>
      </c>
    </row>
    <row r="24" customFormat="false" ht="15" hidden="false" customHeight="true" outlineLevel="0" collapsed="false">
      <c r="A24" s="13"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10"/>
  </cols>
  <sheetData>
    <row r="1" customFormat="false" ht="17.25" hidden="false" customHeight="true" outlineLevel="0" collapsed="false">
      <c r="B1" s="14" t="s">
        <v>31</v>
      </c>
    </row>
    <row r="2" customFormat="false" ht="15" hidden="false" customHeight="true" outlineLevel="0" collapsed="false">
      <c r="B2" s="3" t="s">
        <v>32</v>
      </c>
    </row>
    <row r="4" customFormat="false" ht="15" hidden="false" customHeight="true" outlineLevel="0" collapsed="false">
      <c r="B4" s="7" t="s">
        <v>33</v>
      </c>
    </row>
    <row r="5" customFormat="false" ht="23.25" hidden="false" customHeight="true" outlineLevel="0" collapsed="false">
      <c r="B5" s="15" t="s">
        <v>34</v>
      </c>
    </row>
    <row r="6" customFormat="false" ht="15" hidden="false" customHeight="true" outlineLevel="0" collapsed="false">
      <c r="B6" s="15"/>
    </row>
    <row r="7" customFormat="false" ht="15" hidden="false" customHeight="true" outlineLevel="0" collapsed="false">
      <c r="B7" s="7" t="s">
        <v>35</v>
      </c>
    </row>
    <row r="8" customFormat="false" ht="15" hidden="false" customHeight="true" outlineLevel="0" collapsed="false">
      <c r="B8" s="15" t="s">
        <v>36</v>
      </c>
    </row>
    <row r="9" customFormat="false" ht="23.25" hidden="false" customHeight="true" outlineLevel="0" collapsed="false">
      <c r="B9" s="15" t="s">
        <v>37</v>
      </c>
    </row>
    <row r="10" customFormat="false" ht="23.25" hidden="false" customHeight="true" outlineLevel="0" collapsed="false">
      <c r="B10" s="15" t="s">
        <v>38</v>
      </c>
    </row>
    <row r="11" customFormat="false" ht="23.25" hidden="false" customHeight="true" outlineLevel="0" collapsed="false">
      <c r="B11" s="15" t="s">
        <v>39</v>
      </c>
    </row>
    <row r="12" customFormat="false" ht="15" hidden="false" customHeight="true" outlineLevel="0" collapsed="false">
      <c r="B12" s="15" t="s">
        <v>40</v>
      </c>
    </row>
    <row r="13" customFormat="false" ht="15" hidden="false" customHeight="true" outlineLevel="0" collapsed="false">
      <c r="B13" s="15"/>
    </row>
    <row r="14" customFormat="false" ht="15" hidden="false" customHeight="true" outlineLevel="0" collapsed="false">
      <c r="B14" s="15" t="s">
        <v>41</v>
      </c>
    </row>
    <row r="15" customFormat="false" ht="15" hidden="false" customHeight="true" outlineLevel="0" collapsed="false">
      <c r="B15" s="15" t="s">
        <v>42</v>
      </c>
    </row>
    <row r="16" customFormat="false" ht="15" hidden="false" customHeight="true" outlineLevel="0" collapsed="false">
      <c r="B16" s="15" t="s">
        <v>43</v>
      </c>
    </row>
    <row r="17" customFormat="false" ht="15" hidden="false" customHeight="true" outlineLevel="0" collapsed="false">
      <c r="B17" s="15" t="s">
        <v>44</v>
      </c>
    </row>
    <row r="18" customFormat="false" ht="15" hidden="false" customHeight="true" outlineLevel="0" collapsed="false">
      <c r="B18" s="15"/>
    </row>
    <row r="19" customFormat="false" ht="15" hidden="false" customHeight="true" outlineLevel="0" collapsed="false">
      <c r="B19" s="7" t="s">
        <v>45</v>
      </c>
    </row>
    <row r="20" customFormat="false" ht="23.25" hidden="false" customHeight="true" outlineLevel="0" collapsed="false">
      <c r="B20" s="15" t="s">
        <v>46</v>
      </c>
    </row>
    <row r="21" customFormat="false" ht="15" hidden="false" customHeight="true" outlineLevel="0" collapsed="false">
      <c r="B21" s="15"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9"/>
    <col collapsed="false" customWidth="true" hidden="false" outlineLevel="0" max="5" min="5" style="0" width="24"/>
    <col collapsed="false" customWidth="true" hidden="false" outlineLevel="0" max="6" min="6" style="0" width="30"/>
    <col collapsed="false" customWidth="true" hidden="false" outlineLevel="0" max="7" min="7" style="0" width="13"/>
  </cols>
  <sheetData>
    <row r="1" customFormat="false" ht="17.35" hidden="false" customHeight="false" outlineLevel="0" collapsed="false">
      <c r="A1" s="16" t="s">
        <v>48</v>
      </c>
    </row>
    <row r="2" customFormat="false" ht="15" hidden="false" customHeight="false" outlineLevel="0" collapsed="false">
      <c r="A2" s="17" t="s">
        <v>49</v>
      </c>
    </row>
    <row r="4" customFormat="false" ht="15" hidden="false" customHeight="false" outlineLevel="0" collapsed="false">
      <c r="A4" s="18" t="s">
        <v>50</v>
      </c>
      <c r="B4" s="18" t="s">
        <v>51</v>
      </c>
      <c r="C4" s="18" t="s">
        <v>52</v>
      </c>
      <c r="D4" s="18" t="s">
        <v>53</v>
      </c>
      <c r="E4" s="18" t="s">
        <v>54</v>
      </c>
      <c r="F4" s="18" t="s">
        <v>55</v>
      </c>
      <c r="G4" s="18" t="s">
        <v>56</v>
      </c>
    </row>
    <row r="5" customFormat="false" ht="15" hidden="false" customHeight="false" outlineLevel="0" collapsed="false">
      <c r="A5" s="19" t="n">
        <v>46244</v>
      </c>
      <c r="B5" s="20" t="s">
        <v>57</v>
      </c>
      <c r="C5" s="21" t="n">
        <v>6000</v>
      </c>
      <c r="D5" s="20"/>
      <c r="E5" s="20" t="s">
        <v>58</v>
      </c>
      <c r="F5" s="20" t="s">
        <v>59</v>
      </c>
      <c r="G5" s="22" t="n">
        <f aca="false">IF(B5="","",IF(OR(B5="Deposit",B5="Sell",B5="Dividend"),C5,-C5))</f>
        <v>6000</v>
      </c>
    </row>
    <row r="6" customFormat="false" ht="15" hidden="false" customHeight="false" outlineLevel="0" collapsed="false">
      <c r="A6" s="19" t="n">
        <v>46246</v>
      </c>
      <c r="B6" s="20" t="s">
        <v>60</v>
      </c>
      <c r="C6" s="21" t="n">
        <v>6004.68</v>
      </c>
      <c r="D6" s="20" t="s">
        <v>61</v>
      </c>
      <c r="E6" s="20"/>
      <c r="F6" s="20" t="s">
        <v>62</v>
      </c>
      <c r="G6" s="22" t="n">
        <f aca="false">IF(B6="","",N(G5)+IF(OR(B6="Deposit",B6="Sell",B6="Dividend"),C6,-C6))</f>
        <v>-4.68000000000029</v>
      </c>
    </row>
    <row r="7" customFormat="false" ht="15" hidden="false" customHeight="false" outlineLevel="0" collapsed="false">
      <c r="A7" s="19"/>
      <c r="B7" s="20"/>
      <c r="C7" s="21"/>
      <c r="D7" s="20"/>
      <c r="E7" s="20"/>
      <c r="F7" s="20"/>
      <c r="G7" s="22" t="str">
        <f aca="false">IF(B7="","",N(G6)+IF(OR(B7="Deposit",B7="Sell",B7="Dividend"),C7,-C7))</f>
        <v/>
      </c>
    </row>
    <row r="8" customFormat="false" ht="15" hidden="false" customHeight="false" outlineLevel="0" collapsed="false">
      <c r="A8" s="19"/>
      <c r="B8" s="20"/>
      <c r="C8" s="21"/>
      <c r="D8" s="20"/>
      <c r="E8" s="20"/>
      <c r="F8" s="20"/>
      <c r="G8" s="22" t="str">
        <f aca="false">IF(B8="","",N(G7)+IF(OR(B8="Deposit",B8="Sell",B8="Dividend"),C8,-C8))</f>
        <v/>
      </c>
    </row>
    <row r="9" customFormat="false" ht="15" hidden="false" customHeight="false" outlineLevel="0" collapsed="false">
      <c r="A9" s="19"/>
      <c r="B9" s="20"/>
      <c r="C9" s="21"/>
      <c r="D9" s="20"/>
      <c r="E9" s="20"/>
      <c r="F9" s="20"/>
      <c r="G9" s="22" t="str">
        <f aca="false">IF(B9="","",N(G8)+IF(OR(B9="Deposit",B9="Sell",B9="Dividend"),C9,-C9))</f>
        <v/>
      </c>
    </row>
    <row r="10" customFormat="false" ht="15" hidden="false" customHeight="false" outlineLevel="0" collapsed="false">
      <c r="A10" s="19"/>
      <c r="B10" s="20"/>
      <c r="C10" s="21"/>
      <c r="D10" s="20"/>
      <c r="E10" s="20"/>
      <c r="F10" s="20"/>
      <c r="G10" s="22" t="str">
        <f aca="false">IF(B10="","",N(G9)+IF(OR(B10="Deposit",B10="Sell",B10="Dividend"),C10,-C10))</f>
        <v/>
      </c>
    </row>
    <row r="11" customFormat="false" ht="15" hidden="false" customHeight="false" outlineLevel="0" collapsed="false">
      <c r="A11" s="19"/>
      <c r="B11" s="20"/>
      <c r="C11" s="21"/>
      <c r="D11" s="20"/>
      <c r="E11" s="20"/>
      <c r="F11" s="20"/>
      <c r="G11" s="22" t="str">
        <f aca="false">IF(B11="","",N(G10)+IF(OR(B11="Deposit",B11="Sell",B11="Dividend"),C11,-C11))</f>
        <v/>
      </c>
    </row>
    <row r="12" customFormat="false" ht="15" hidden="false" customHeight="false" outlineLevel="0" collapsed="false">
      <c r="A12" s="19"/>
      <c r="B12" s="20"/>
      <c r="C12" s="21"/>
      <c r="D12" s="20"/>
      <c r="E12" s="20"/>
      <c r="F12" s="20"/>
      <c r="G12" s="22" t="str">
        <f aca="false">IF(B12="","",N(G11)+IF(OR(B12="Deposit",B12="Sell",B12="Dividend"),C12,-C12))</f>
        <v/>
      </c>
    </row>
    <row r="13" customFormat="false" ht="15" hidden="false" customHeight="false" outlineLevel="0" collapsed="false">
      <c r="A13" s="19"/>
      <c r="B13" s="20"/>
      <c r="C13" s="21"/>
      <c r="D13" s="20"/>
      <c r="E13" s="20"/>
      <c r="F13" s="20"/>
      <c r="G13" s="22" t="str">
        <f aca="false">IF(B13="","",N(G12)+IF(OR(B13="Deposit",B13="Sell",B13="Dividend"),C13,-C13))</f>
        <v/>
      </c>
    </row>
    <row r="14" customFormat="false" ht="15" hidden="false" customHeight="false" outlineLevel="0" collapsed="false">
      <c r="A14" s="19"/>
      <c r="B14" s="20"/>
      <c r="C14" s="21"/>
      <c r="D14" s="20"/>
      <c r="E14" s="20"/>
      <c r="F14" s="20"/>
      <c r="G14" s="22" t="str">
        <f aca="false">IF(B14="","",N(G13)+IF(OR(B14="Deposit",B14="Sell",B14="Dividend"),C14,-C14))</f>
        <v/>
      </c>
    </row>
    <row r="15" customFormat="false" ht="15" hidden="false" customHeight="false" outlineLevel="0" collapsed="false">
      <c r="A15" s="19"/>
      <c r="B15" s="20"/>
      <c r="C15" s="21"/>
      <c r="D15" s="20"/>
      <c r="E15" s="20"/>
      <c r="F15" s="20"/>
      <c r="G15" s="22" t="str">
        <f aca="false">IF(B15="","",N(G14)+IF(OR(B15="Deposit",B15="Sell",B15="Dividend"),C15,-C15))</f>
        <v/>
      </c>
    </row>
    <row r="16" customFormat="false" ht="15" hidden="false" customHeight="false" outlineLevel="0" collapsed="false">
      <c r="A16" s="19"/>
      <c r="B16" s="20"/>
      <c r="C16" s="21"/>
      <c r="D16" s="20"/>
      <c r="E16" s="20"/>
      <c r="F16" s="20"/>
      <c r="G16" s="22" t="str">
        <f aca="false">IF(B16="","",N(G15)+IF(OR(B16="Deposit",B16="Sell",B16="Dividend"),C16,-C16))</f>
        <v/>
      </c>
    </row>
    <row r="17" customFormat="false" ht="15" hidden="false" customHeight="false" outlineLevel="0" collapsed="false">
      <c r="A17" s="19"/>
      <c r="B17" s="20"/>
      <c r="C17" s="21"/>
      <c r="D17" s="20"/>
      <c r="E17" s="20"/>
      <c r="F17" s="20"/>
      <c r="G17" s="22" t="str">
        <f aca="false">IF(B17="","",N(G16)+IF(OR(B17="Deposit",B17="Sell",B17="Dividend"),C17,-C17))</f>
        <v/>
      </c>
    </row>
    <row r="18" customFormat="false" ht="15" hidden="false" customHeight="false" outlineLevel="0" collapsed="false">
      <c r="A18" s="19"/>
      <c r="B18" s="20"/>
      <c r="C18" s="21"/>
      <c r="D18" s="20"/>
      <c r="E18" s="20"/>
      <c r="F18" s="20"/>
      <c r="G18" s="22" t="str">
        <f aca="false">IF(B18="","",N(G17)+IF(OR(B18="Deposit",B18="Sell",B18="Dividend"),C18,-C18))</f>
        <v/>
      </c>
    </row>
    <row r="19" customFormat="false" ht="15" hidden="false" customHeight="false" outlineLevel="0" collapsed="false">
      <c r="A19" s="19"/>
      <c r="B19" s="20"/>
      <c r="C19" s="21"/>
      <c r="D19" s="20"/>
      <c r="E19" s="20"/>
      <c r="F19" s="20"/>
      <c r="G19" s="22" t="str">
        <f aca="false">IF(B19="","",N(G18)+IF(OR(B19="Deposit",B19="Sell",B19="Dividend"),C19,-C19))</f>
        <v/>
      </c>
    </row>
    <row r="20" customFormat="false" ht="15" hidden="false" customHeight="false" outlineLevel="0" collapsed="false">
      <c r="A20" s="19"/>
      <c r="B20" s="20"/>
      <c r="C20" s="21"/>
      <c r="D20" s="20"/>
      <c r="E20" s="20"/>
      <c r="F20" s="20"/>
      <c r="G20" s="22" t="str">
        <f aca="false">IF(B20="","",N(G19)+IF(OR(B20="Deposit",B20="Sell",B20="Dividend"),C20,-C20))</f>
        <v/>
      </c>
    </row>
    <row r="21" customFormat="false" ht="15" hidden="false" customHeight="false" outlineLevel="0" collapsed="false">
      <c r="A21" s="19"/>
      <c r="B21" s="20"/>
      <c r="C21" s="21"/>
      <c r="D21" s="20"/>
      <c r="E21" s="20"/>
      <c r="F21" s="20"/>
      <c r="G21" s="22" t="str">
        <f aca="false">IF(B21="","",N(G20)+IF(OR(B21="Deposit",B21="Sell",B21="Dividend"),C21,-C21))</f>
        <v/>
      </c>
    </row>
    <row r="22" customFormat="false" ht="15" hidden="false" customHeight="false" outlineLevel="0" collapsed="false">
      <c r="A22" s="19"/>
      <c r="B22" s="20"/>
      <c r="C22" s="21"/>
      <c r="D22" s="20"/>
      <c r="E22" s="20"/>
      <c r="F22" s="20"/>
      <c r="G22" s="22" t="str">
        <f aca="false">IF(B22="","",N(G21)+IF(OR(B22="Deposit",B22="Sell",B22="Dividend"),C22,-C22))</f>
        <v/>
      </c>
    </row>
    <row r="23" customFormat="false" ht="15" hidden="false" customHeight="false" outlineLevel="0" collapsed="false">
      <c r="A23" s="19"/>
      <c r="B23" s="20"/>
      <c r="C23" s="21"/>
      <c r="D23" s="20"/>
      <c r="E23" s="20"/>
      <c r="F23" s="20"/>
      <c r="G23" s="22" t="str">
        <f aca="false">IF(B23="","",N(G22)+IF(OR(B23="Deposit",B23="Sell",B23="Dividend"),C23,-C23))</f>
        <v/>
      </c>
    </row>
    <row r="24" customFormat="false" ht="15" hidden="false" customHeight="false" outlineLevel="0" collapsed="false">
      <c r="A24" s="19"/>
      <c r="B24" s="20"/>
      <c r="C24" s="21"/>
      <c r="D24" s="20"/>
      <c r="E24" s="20"/>
      <c r="F24" s="20"/>
      <c r="G24" s="22" t="str">
        <f aca="false">IF(B24="","",N(G23)+IF(OR(B24="Deposit",B24="Sell",B24="Dividend"),C24,-C24))</f>
        <v/>
      </c>
    </row>
    <row r="25" customFormat="false" ht="15" hidden="false" customHeight="false" outlineLevel="0" collapsed="false">
      <c r="A25" s="19"/>
      <c r="B25" s="20"/>
      <c r="C25" s="21"/>
      <c r="D25" s="20"/>
      <c r="E25" s="20"/>
      <c r="F25" s="20"/>
      <c r="G25" s="22" t="str">
        <f aca="false">IF(B25="","",N(G24)+IF(OR(B25="Deposit",B25="Sell",B25="Dividend"),C25,-C25))</f>
        <v/>
      </c>
    </row>
    <row r="26" customFormat="false" ht="15" hidden="false" customHeight="false" outlineLevel="0" collapsed="false">
      <c r="A26" s="19"/>
      <c r="B26" s="20"/>
      <c r="C26" s="21"/>
      <c r="D26" s="20"/>
      <c r="E26" s="20"/>
      <c r="F26" s="20"/>
      <c r="G26" s="22" t="str">
        <f aca="false">IF(B26="","",N(G25)+IF(OR(B26="Deposit",B26="Sell",B26="Dividend"),C26,-C26))</f>
        <v/>
      </c>
    </row>
    <row r="27" customFormat="false" ht="15" hidden="false" customHeight="false" outlineLevel="0" collapsed="false">
      <c r="A27" s="19"/>
      <c r="B27" s="20"/>
      <c r="C27" s="21"/>
      <c r="D27" s="20"/>
      <c r="E27" s="20"/>
      <c r="F27" s="20"/>
      <c r="G27" s="22" t="str">
        <f aca="false">IF(B27="","",N(G26)+IF(OR(B27="Deposit",B27="Sell",B27="Dividend"),C27,-C27))</f>
        <v/>
      </c>
    </row>
    <row r="28" customFormat="false" ht="15" hidden="false" customHeight="false" outlineLevel="0" collapsed="false">
      <c r="A28" s="19"/>
      <c r="B28" s="20"/>
      <c r="C28" s="21"/>
      <c r="D28" s="20"/>
      <c r="E28" s="20"/>
      <c r="F28" s="20"/>
      <c r="G28" s="22" t="str">
        <f aca="false">IF(B28="","",N(G27)+IF(OR(B28="Deposit",B28="Sell",B28="Dividend"),C28,-C28))</f>
        <v/>
      </c>
    </row>
    <row r="29" customFormat="false" ht="15" hidden="false" customHeight="false" outlineLevel="0" collapsed="false">
      <c r="A29" s="19"/>
      <c r="B29" s="20"/>
      <c r="C29" s="21"/>
      <c r="D29" s="20"/>
      <c r="E29" s="20"/>
      <c r="F29" s="20"/>
      <c r="G29" s="22" t="str">
        <f aca="false">IF(B29="","",N(G28)+IF(OR(B29="Deposit",B29="Sell",B29="Dividend"),C29,-C29))</f>
        <v/>
      </c>
    </row>
    <row r="30" customFormat="false" ht="15" hidden="false" customHeight="false" outlineLevel="0" collapsed="false">
      <c r="A30" s="19"/>
      <c r="B30" s="20"/>
      <c r="C30" s="21"/>
      <c r="D30" s="20"/>
      <c r="E30" s="20"/>
      <c r="F30" s="20"/>
      <c r="G30" s="22" t="str">
        <f aca="false">IF(B30="","",N(G29)+IF(OR(B30="Deposit",B30="Sell",B30="Dividend"),C30,-C30))</f>
        <v/>
      </c>
    </row>
    <row r="31" customFormat="false" ht="15" hidden="false" customHeight="false" outlineLevel="0" collapsed="false">
      <c r="A31" s="19"/>
      <c r="B31" s="20"/>
      <c r="C31" s="21"/>
      <c r="D31" s="20"/>
      <c r="E31" s="20"/>
      <c r="F31" s="20"/>
      <c r="G31" s="22" t="str">
        <f aca="false">IF(B31="","",N(G30)+IF(OR(B31="Deposit",B31="Sell",B31="Dividend"),C31,-C31))</f>
        <v/>
      </c>
    </row>
    <row r="32" customFormat="false" ht="15" hidden="false" customHeight="false" outlineLevel="0" collapsed="false">
      <c r="A32" s="19"/>
      <c r="B32" s="20"/>
      <c r="C32" s="21"/>
      <c r="D32" s="20"/>
      <c r="E32" s="20"/>
      <c r="F32" s="20"/>
      <c r="G32" s="22" t="str">
        <f aca="false">IF(B32="","",N(G31)+IF(OR(B32="Deposit",B32="Sell",B32="Dividend"),C32,-C32))</f>
        <v/>
      </c>
    </row>
    <row r="33" customFormat="false" ht="15" hidden="false" customHeight="false" outlineLevel="0" collapsed="false">
      <c r="A33" s="19"/>
      <c r="B33" s="20"/>
      <c r="C33" s="21"/>
      <c r="D33" s="20"/>
      <c r="E33" s="20"/>
      <c r="F33" s="20"/>
      <c r="G33" s="22" t="str">
        <f aca="false">IF(B33="","",N(G32)+IF(OR(B33="Deposit",B33="Sell",B33="Dividend"),C33,-C33))</f>
        <v/>
      </c>
    </row>
    <row r="34" customFormat="false" ht="15" hidden="false" customHeight="false" outlineLevel="0" collapsed="false">
      <c r="A34" s="19"/>
      <c r="B34" s="20"/>
      <c r="C34" s="21"/>
      <c r="D34" s="20"/>
      <c r="E34" s="20"/>
      <c r="F34" s="20"/>
      <c r="G34" s="22" t="str">
        <f aca="false">IF(B34="","",N(G33)+IF(OR(B34="Deposit",B34="Sell",B34="Dividend"),C34,-C34))</f>
        <v/>
      </c>
    </row>
    <row r="35" customFormat="false" ht="15" hidden="false" customHeight="false" outlineLevel="0" collapsed="false">
      <c r="A35" s="19"/>
      <c r="B35" s="20"/>
      <c r="C35" s="21"/>
      <c r="D35" s="20"/>
      <c r="E35" s="20"/>
      <c r="F35" s="20"/>
      <c r="G35" s="22" t="str">
        <f aca="false">IF(B35="","",N(G34)+IF(OR(B35="Deposit",B35="Sell",B35="Dividend"),C35,-C35))</f>
        <v/>
      </c>
    </row>
    <row r="36" customFormat="false" ht="15" hidden="false" customHeight="false" outlineLevel="0" collapsed="false">
      <c r="A36" s="19"/>
      <c r="B36" s="20"/>
      <c r="C36" s="21"/>
      <c r="D36" s="20"/>
      <c r="E36" s="20"/>
      <c r="F36" s="20"/>
      <c r="G36" s="22" t="str">
        <f aca="false">IF(B36="","",N(G35)+IF(OR(B36="Deposit",B36="Sell",B36="Dividend"),C36,-C36))</f>
        <v/>
      </c>
    </row>
    <row r="37" customFormat="false" ht="15" hidden="false" customHeight="false" outlineLevel="0" collapsed="false">
      <c r="A37" s="19"/>
      <c r="B37" s="20"/>
      <c r="C37" s="21"/>
      <c r="D37" s="20"/>
      <c r="E37" s="20"/>
      <c r="F37" s="20"/>
      <c r="G37" s="22" t="str">
        <f aca="false">IF(B37="","",N(G36)+IF(OR(B37="Deposit",B37="Sell",B37="Dividend"),C37,-C37))</f>
        <v/>
      </c>
    </row>
    <row r="38" customFormat="false" ht="15" hidden="false" customHeight="false" outlineLevel="0" collapsed="false">
      <c r="A38" s="19"/>
      <c r="B38" s="20"/>
      <c r="C38" s="21"/>
      <c r="D38" s="20"/>
      <c r="E38" s="20"/>
      <c r="F38" s="20"/>
      <c r="G38" s="22" t="str">
        <f aca="false">IF(B38="","",N(G37)+IF(OR(B38="Deposit",B38="Sell",B38="Dividend"),C38,-C38))</f>
        <v/>
      </c>
    </row>
    <row r="39" customFormat="false" ht="15" hidden="false" customHeight="false" outlineLevel="0" collapsed="false">
      <c r="A39" s="19"/>
      <c r="B39" s="20"/>
      <c r="C39" s="21"/>
      <c r="D39" s="20"/>
      <c r="E39" s="20"/>
      <c r="F39" s="20"/>
      <c r="G39" s="22" t="str">
        <f aca="false">IF(B39="","",N(G38)+IF(OR(B39="Deposit",B39="Sell",B39="Dividend"),C39,-C39))</f>
        <v/>
      </c>
    </row>
    <row r="40" customFormat="false" ht="15" hidden="false" customHeight="false" outlineLevel="0" collapsed="false">
      <c r="A40" s="19"/>
      <c r="B40" s="20"/>
      <c r="C40" s="21"/>
      <c r="D40" s="20"/>
      <c r="E40" s="20"/>
      <c r="F40" s="20"/>
      <c r="G40" s="22" t="str">
        <f aca="false">IF(B40="","",N(G39)+IF(OR(B40="Deposit",B40="Sell",B40="Dividend"),C40,-C40))</f>
        <v/>
      </c>
    </row>
    <row r="41" customFormat="false" ht="15" hidden="false" customHeight="false" outlineLevel="0" collapsed="false">
      <c r="A41" s="19"/>
      <c r="B41" s="20"/>
      <c r="C41" s="21"/>
      <c r="D41" s="20"/>
      <c r="E41" s="20"/>
      <c r="F41" s="20"/>
      <c r="G41" s="22" t="str">
        <f aca="false">IF(B41="","",N(G40)+IF(OR(B41="Deposit",B41="Sell",B41="Dividend"),C41,-C41))</f>
        <v/>
      </c>
    </row>
    <row r="42" customFormat="false" ht="15" hidden="false" customHeight="false" outlineLevel="0" collapsed="false">
      <c r="A42" s="19"/>
      <c r="B42" s="20"/>
      <c r="C42" s="21"/>
      <c r="D42" s="20"/>
      <c r="E42" s="20"/>
      <c r="F42" s="20"/>
      <c r="G42" s="22" t="str">
        <f aca="false">IF(B42="","",N(G41)+IF(OR(B42="Deposit",B42="Sell",B42="Dividend"),C42,-C42))</f>
        <v/>
      </c>
    </row>
    <row r="43" customFormat="false" ht="15" hidden="false" customHeight="false" outlineLevel="0" collapsed="false">
      <c r="A43" s="19"/>
      <c r="B43" s="20"/>
      <c r="C43" s="21"/>
      <c r="D43" s="20"/>
      <c r="E43" s="20"/>
      <c r="F43" s="20"/>
      <c r="G43" s="22" t="str">
        <f aca="false">IF(B43="","",N(G42)+IF(OR(B43="Deposit",B43="Sell",B43="Dividend"),C43,-C43))</f>
        <v/>
      </c>
    </row>
    <row r="44" customFormat="false" ht="15" hidden="false" customHeight="false" outlineLevel="0" collapsed="false">
      <c r="A44" s="19"/>
      <c r="B44" s="20"/>
      <c r="C44" s="21"/>
      <c r="D44" s="20"/>
      <c r="E44" s="20"/>
      <c r="F44" s="20"/>
      <c r="G44" s="22" t="str">
        <f aca="false">IF(B44="","",N(G43)+IF(OR(B44="Deposit",B44="Sell",B44="Dividend"),C44,-C44))</f>
        <v/>
      </c>
    </row>
    <row r="45" customFormat="false" ht="15" hidden="false" customHeight="false" outlineLevel="0" collapsed="false">
      <c r="A45" s="19"/>
      <c r="B45" s="20"/>
      <c r="C45" s="21"/>
      <c r="D45" s="20"/>
      <c r="E45" s="20"/>
      <c r="F45" s="20"/>
      <c r="G45" s="22" t="str">
        <f aca="false">IF(B45="","",N(G44)+IF(OR(B45="Deposit",B45="Sell",B45="Dividend"),C45,-C45))</f>
        <v/>
      </c>
    </row>
    <row r="46" customFormat="false" ht="15" hidden="false" customHeight="false" outlineLevel="0" collapsed="false">
      <c r="A46" s="19"/>
      <c r="B46" s="20"/>
      <c r="C46" s="21"/>
      <c r="D46" s="20"/>
      <c r="E46" s="20"/>
      <c r="F46" s="20"/>
      <c r="G46" s="22" t="str">
        <f aca="false">IF(B46="","",N(G45)+IF(OR(B46="Deposit",B46="Sell",B46="Dividend"),C46,-C46))</f>
        <v/>
      </c>
    </row>
    <row r="47" customFormat="false" ht="15" hidden="false" customHeight="false" outlineLevel="0" collapsed="false">
      <c r="A47" s="19"/>
      <c r="B47" s="20"/>
      <c r="C47" s="21"/>
      <c r="D47" s="20"/>
      <c r="E47" s="20"/>
      <c r="F47" s="20"/>
      <c r="G47" s="22" t="str">
        <f aca="false">IF(B47="","",N(G46)+IF(OR(B47="Deposit",B47="Sell",B47="Dividend"),C47,-C47))</f>
        <v/>
      </c>
    </row>
    <row r="48" customFormat="false" ht="15" hidden="false" customHeight="false" outlineLevel="0" collapsed="false">
      <c r="A48" s="19"/>
      <c r="B48" s="20"/>
      <c r="C48" s="21"/>
      <c r="D48" s="20"/>
      <c r="E48" s="20"/>
      <c r="F48" s="20"/>
      <c r="G48" s="22" t="str">
        <f aca="false">IF(B48="","",N(G47)+IF(OR(B48="Deposit",B48="Sell",B48="Dividend"),C48,-C48))</f>
        <v/>
      </c>
    </row>
    <row r="49" customFormat="false" ht="15" hidden="false" customHeight="false" outlineLevel="0" collapsed="false">
      <c r="A49" s="19"/>
      <c r="B49" s="20"/>
      <c r="C49" s="21"/>
      <c r="D49" s="20"/>
      <c r="E49" s="20"/>
      <c r="F49" s="20"/>
      <c r="G49" s="22" t="str">
        <f aca="false">IF(B49="","",N(G48)+IF(OR(B49="Deposit",B49="Sell",B49="Dividend"),C49,-C49))</f>
        <v/>
      </c>
    </row>
    <row r="50" customFormat="false" ht="15" hidden="false" customHeight="false" outlineLevel="0" collapsed="false">
      <c r="A50" s="19"/>
      <c r="B50" s="20"/>
      <c r="C50" s="21"/>
      <c r="D50" s="20"/>
      <c r="E50" s="20"/>
      <c r="F50" s="20"/>
      <c r="G50" s="22" t="str">
        <f aca="false">IF(B50="","",N(G49)+IF(OR(B50="Deposit",B50="Sell",B50="Dividend"),C50,-C50))</f>
        <v/>
      </c>
    </row>
    <row r="51" customFormat="false" ht="15" hidden="false" customHeight="false" outlineLevel="0" collapsed="false">
      <c r="A51" s="19"/>
      <c r="B51" s="20"/>
      <c r="C51" s="21"/>
      <c r="D51" s="20"/>
      <c r="E51" s="20"/>
      <c r="F51" s="20"/>
      <c r="G51" s="22" t="str">
        <f aca="false">IF(B51="","",N(G50)+IF(OR(B51="Deposit",B51="Sell",B51="Dividend"),C51,-C51))</f>
        <v/>
      </c>
    </row>
    <row r="52" customFormat="false" ht="15" hidden="false" customHeight="false" outlineLevel="0" collapsed="false">
      <c r="A52" s="19"/>
      <c r="B52" s="20"/>
      <c r="C52" s="21"/>
      <c r="D52" s="20"/>
      <c r="E52" s="20"/>
      <c r="F52" s="20"/>
      <c r="G52" s="22" t="str">
        <f aca="false">IF(B52="","",N(G51)+IF(OR(B52="Deposit",B52="Sell",B52="Dividend"),C52,-C52))</f>
        <v/>
      </c>
    </row>
    <row r="53" customFormat="false" ht="15" hidden="false" customHeight="false" outlineLevel="0" collapsed="false">
      <c r="A53" s="19"/>
      <c r="B53" s="20"/>
      <c r="C53" s="21"/>
      <c r="D53" s="20"/>
      <c r="E53" s="20"/>
      <c r="F53" s="20"/>
      <c r="G53" s="22" t="str">
        <f aca="false">IF(B53="","",N(G52)+IF(OR(B53="Deposit",B53="Sell",B53="Dividend"),C53,-C53))</f>
        <v/>
      </c>
    </row>
    <row r="54" customFormat="false" ht="15" hidden="false" customHeight="false" outlineLevel="0" collapsed="false">
      <c r="A54" s="19"/>
      <c r="B54" s="20"/>
      <c r="C54" s="21"/>
      <c r="D54" s="20"/>
      <c r="E54" s="20"/>
      <c r="F54" s="20"/>
      <c r="G54" s="22" t="str">
        <f aca="false">IF(B54="","",N(G53)+IF(OR(B54="Deposit",B54="Sell",B54="Dividend"),C54,-C54))</f>
        <v/>
      </c>
    </row>
    <row r="55" customFormat="false" ht="15" hidden="false" customHeight="false" outlineLevel="0" collapsed="false">
      <c r="A55" s="19"/>
      <c r="B55" s="20"/>
      <c r="C55" s="21"/>
      <c r="D55" s="20"/>
      <c r="E55" s="20"/>
      <c r="F55" s="20"/>
      <c r="G55" s="22" t="str">
        <f aca="false">IF(B55="","",N(G54)+IF(OR(B55="Deposit",B55="Sell",B55="Dividend"),C55,-C55))</f>
        <v/>
      </c>
    </row>
    <row r="56" customFormat="false" ht="15" hidden="false" customHeight="false" outlineLevel="0" collapsed="false">
      <c r="A56" s="19"/>
      <c r="B56" s="20"/>
      <c r="C56" s="21"/>
      <c r="D56" s="20"/>
      <c r="E56" s="20"/>
      <c r="F56" s="20"/>
      <c r="G56" s="22" t="str">
        <f aca="false">IF(B56="","",N(G55)+IF(OR(B56="Deposit",B56="Sell",B56="Dividend"),C56,-C56))</f>
        <v/>
      </c>
    </row>
    <row r="57" customFormat="false" ht="15" hidden="false" customHeight="false" outlineLevel="0" collapsed="false">
      <c r="A57" s="19"/>
      <c r="B57" s="20"/>
      <c r="C57" s="21"/>
      <c r="D57" s="20"/>
      <c r="E57" s="20"/>
      <c r="F57" s="20"/>
      <c r="G57" s="22" t="str">
        <f aca="false">IF(B57="","",N(G56)+IF(OR(B57="Deposit",B57="Sell",B57="Dividend"),C57,-C57))</f>
        <v/>
      </c>
    </row>
    <row r="58" customFormat="false" ht="15" hidden="false" customHeight="false" outlineLevel="0" collapsed="false">
      <c r="A58" s="19"/>
      <c r="B58" s="20"/>
      <c r="C58" s="21"/>
      <c r="D58" s="20"/>
      <c r="E58" s="20"/>
      <c r="F58" s="20"/>
      <c r="G58" s="22" t="str">
        <f aca="false">IF(B58="","",N(G57)+IF(OR(B58="Deposit",B58="Sell",B58="Dividend"),C58,-C58))</f>
        <v/>
      </c>
    </row>
    <row r="59" customFormat="false" ht="15" hidden="false" customHeight="false" outlineLevel="0" collapsed="false">
      <c r="A59" s="19"/>
      <c r="B59" s="20"/>
      <c r="C59" s="21"/>
      <c r="D59" s="20"/>
      <c r="E59" s="20"/>
      <c r="F59" s="20"/>
      <c r="G59" s="22" t="str">
        <f aca="false">IF(B59="","",N(G58)+IF(OR(B59="Deposit",B59="Sell",B59="Dividend"),C59,-C59))</f>
        <v/>
      </c>
    </row>
    <row r="60" customFormat="false" ht="15" hidden="false" customHeight="false" outlineLevel="0" collapsed="false">
      <c r="A60" s="19"/>
      <c r="B60" s="20"/>
      <c r="C60" s="21"/>
      <c r="D60" s="20"/>
      <c r="E60" s="20"/>
      <c r="F60" s="20"/>
      <c r="G60" s="22" t="str">
        <f aca="false">IF(B60="","",N(G59)+IF(OR(B60="Deposit",B60="Sell",B60="Dividend"),C60,-C60))</f>
        <v/>
      </c>
    </row>
    <row r="61" customFormat="false" ht="15" hidden="false" customHeight="false" outlineLevel="0" collapsed="false">
      <c r="A61" s="19"/>
      <c r="B61" s="20"/>
      <c r="C61" s="21"/>
      <c r="D61" s="20"/>
      <c r="E61" s="20"/>
      <c r="F61" s="20"/>
      <c r="G61" s="22" t="str">
        <f aca="false">IF(B61="","",N(G60)+IF(OR(B61="Deposit",B61="Sell",B61="Dividend"),C61,-C61))</f>
        <v/>
      </c>
    </row>
    <row r="62" customFormat="false" ht="15" hidden="false" customHeight="false" outlineLevel="0" collapsed="false">
      <c r="A62" s="19"/>
      <c r="B62" s="20"/>
      <c r="C62" s="21"/>
      <c r="D62" s="20"/>
      <c r="E62" s="20"/>
      <c r="F62" s="20"/>
      <c r="G62" s="22" t="str">
        <f aca="false">IF(B62="","",N(G61)+IF(OR(B62="Deposit",B62="Sell",B62="Dividend"),C62,-C62))</f>
        <v/>
      </c>
    </row>
    <row r="63" customFormat="false" ht="15" hidden="false" customHeight="false" outlineLevel="0" collapsed="false">
      <c r="A63" s="19"/>
      <c r="B63" s="20"/>
      <c r="C63" s="21"/>
      <c r="D63" s="20"/>
      <c r="E63" s="20"/>
      <c r="F63" s="20"/>
      <c r="G63" s="22" t="str">
        <f aca="false">IF(B63="","",N(G62)+IF(OR(B63="Deposit",B63="Sell",B63="Dividend"),C63,-C63))</f>
        <v/>
      </c>
    </row>
    <row r="64" customFormat="false" ht="15" hidden="false" customHeight="false" outlineLevel="0" collapsed="false">
      <c r="A64" s="19"/>
      <c r="B64" s="20"/>
      <c r="C64" s="21"/>
      <c r="D64" s="20"/>
      <c r="E64" s="20"/>
      <c r="F64" s="20"/>
      <c r="G64" s="22" t="str">
        <f aca="false">IF(B64="","",N(G63)+IF(OR(B64="Deposit",B64="Sell",B64="Dividend"),C64,-C64))</f>
        <v/>
      </c>
    </row>
    <row r="66" customFormat="false" ht="15" hidden="false" customHeight="false" outlineLevel="0" collapsed="false">
      <c r="A66" s="23" t="s">
        <v>63</v>
      </c>
    </row>
    <row r="67" customFormat="false" ht="15" hidden="false" customHeight="false" outlineLevel="0" collapsed="false">
      <c r="A67" s="10" t="s">
        <v>64</v>
      </c>
      <c r="B67" s="24" t="n">
        <f aca="false">SUMIFS($C$5:$C$64,$B$5:$B$64,"Deposit")</f>
        <v>6000</v>
      </c>
    </row>
    <row r="68" customFormat="false" ht="15" hidden="false" customHeight="false" outlineLevel="0" collapsed="false">
      <c r="A68" s="10" t="s">
        <v>65</v>
      </c>
      <c r="B68" s="24" t="n">
        <f aca="false">SUMIFS($C$5:$C$64,$B$5:$B$64,"Withdrawal")</f>
        <v>0</v>
      </c>
    </row>
    <row r="69" customFormat="false" ht="15" hidden="false" customHeight="false" outlineLevel="0" collapsed="false">
      <c r="A69" s="23" t="s">
        <v>66</v>
      </c>
      <c r="B69" s="25" t="n">
        <f aca="false">B67-B68</f>
        <v>6000</v>
      </c>
    </row>
    <row r="70" customFormat="false" ht="15" hidden="false" customHeight="false" outlineLevel="0" collapsed="false">
      <c r="A70" s="10" t="s">
        <v>67</v>
      </c>
      <c r="B70" s="24" t="n">
        <f aca="false">SUMIFS($C$5:$C$64,$B$5:$B$64,"Buy")</f>
        <v>6004.68</v>
      </c>
    </row>
    <row r="71" customFormat="false" ht="15" hidden="false" customHeight="false" outlineLevel="0" collapsed="false">
      <c r="A71" s="10" t="s">
        <v>68</v>
      </c>
      <c r="B71" s="24" t="n">
        <f aca="false">SUMIFS($C$5:$C$64,$B$5:$B$64,"Sell")</f>
        <v>0</v>
      </c>
    </row>
    <row r="72" customFormat="false" ht="15" hidden="false" customHeight="false" outlineLevel="0" collapsed="false">
      <c r="A72" s="10" t="s">
        <v>69</v>
      </c>
      <c r="B72" s="24" t="n">
        <f aca="false">SUMIFS($C$5:$C$64,$B$5:$B$64,"Dividend")</f>
        <v>0</v>
      </c>
    </row>
    <row r="73" customFormat="false" ht="15" hidden="false" customHeight="false" outlineLevel="0" collapsed="false">
      <c r="A73" s="10" t="s">
        <v>70</v>
      </c>
      <c r="B73" s="24" t="n">
        <f aca="false">SUMIFS($C$5:$C$64,$B$5:$B$64,"Tax Skim")</f>
        <v>0</v>
      </c>
    </row>
    <row r="74" customFormat="false" ht="15" hidden="false" customHeight="false" outlineLevel="0" collapsed="false">
      <c r="A74" s="10" t="s">
        <v>71</v>
      </c>
      <c r="B74" s="26" t="n">
        <f aca="false">SUMIFS($C$5:$C$64,$B$5:$B$64,"Milestone Bank")</f>
        <v>0</v>
      </c>
    </row>
    <row r="75" customFormat="false" ht="15" hidden="false" customHeight="false" outlineLevel="0" collapsed="false">
      <c r="A75" s="10" t="s">
        <v>72</v>
      </c>
      <c r="B75" s="24" t="n">
        <f aca="false">SUMIFS($C$5:$C$64,$B$5:$B$64,"Fee")</f>
        <v>0</v>
      </c>
    </row>
    <row r="76" customFormat="false" ht="15" hidden="false" customHeight="false" outlineLevel="0" collapsed="false">
      <c r="A76" s="23" t="s">
        <v>73</v>
      </c>
      <c r="B76" s="27" t="n">
        <f aca="false">B67-B68-B70+B71+B72-B73-B74-B75</f>
        <v>-4.68000000000029</v>
      </c>
    </row>
    <row r="78" customFormat="false" ht="147.75" hidden="false" customHeight="false" outlineLevel="0" collapsed="false">
      <c r="A78" s="28" t="s">
        <v>74</v>
      </c>
    </row>
  </sheetData>
  <dataValidations count="1">
    <dataValidation allowBlank="true" error="Pick a type from the list" errorStyle="stop" errorTitle="Invalid type" operator="between" showDropDown="false" showErrorMessage="false" showInputMessage="false" sqref="B5:B64" type="list">
      <formula1>"Deposit,Withdrawal,Buy,Sell,Dividend,Tax Skim,Milestone Bank,Fee"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4" min="3" style="1" width="10"/>
    <col collapsed="false" customWidth="true" hidden="false" outlineLevel="0" max="6" min="5" style="1" width="11"/>
    <col collapsed="false" customWidth="true" hidden="false" outlineLevel="0" max="8" min="7" style="1" width="12"/>
    <col collapsed="false" customWidth="true" hidden="false" outlineLevel="0" max="9" min="9" style="1" width="11"/>
    <col collapsed="false" customWidth="true" hidden="false" outlineLevel="0" max="10" min="10" style="1" width="9"/>
    <col collapsed="false" customWidth="true" hidden="false" outlineLevel="0" max="11" min="11" style="1" width="12"/>
    <col collapsed="false" customWidth="true" hidden="false" outlineLevel="0" max="13" min="12" style="1" width="11"/>
    <col collapsed="false" customWidth="true" hidden="false" outlineLevel="0" max="14" min="14" style="1" width="34"/>
  </cols>
  <sheetData>
    <row r="1" customFormat="false" ht="17.25" hidden="false" customHeight="true" outlineLevel="0" collapsed="false">
      <c r="A1" s="14" t="s">
        <v>75</v>
      </c>
    </row>
    <row r="2" customFormat="false" ht="15" hidden="false" customHeight="true" outlineLevel="0" collapsed="false">
      <c r="A2" s="29" t="s">
        <v>76</v>
      </c>
    </row>
    <row r="4" customFormat="false" ht="23.25" hidden="false" customHeight="true" outlineLevel="0" collapsed="false">
      <c r="A4" s="18" t="s">
        <v>53</v>
      </c>
      <c r="B4" s="18" t="s">
        <v>77</v>
      </c>
      <c r="C4" s="18" t="s">
        <v>78</v>
      </c>
      <c r="D4" s="18" t="s">
        <v>79</v>
      </c>
      <c r="E4" s="18" t="s">
        <v>80</v>
      </c>
      <c r="F4" s="18" t="s">
        <v>81</v>
      </c>
      <c r="G4" s="18" t="s">
        <v>82</v>
      </c>
      <c r="H4" s="18" t="s">
        <v>83</v>
      </c>
      <c r="I4" s="18" t="s">
        <v>84</v>
      </c>
      <c r="J4" s="18" t="s">
        <v>85</v>
      </c>
      <c r="K4" s="18" t="s">
        <v>86</v>
      </c>
      <c r="L4" s="18" t="s">
        <v>87</v>
      </c>
      <c r="M4" s="18" t="s">
        <v>88</v>
      </c>
      <c r="N4" s="18" t="s">
        <v>89</v>
      </c>
    </row>
    <row r="5" customFormat="false" ht="15" hidden="false" customHeight="true" outlineLevel="0" collapsed="false">
      <c r="A5" s="30" t="s">
        <v>61</v>
      </c>
      <c r="B5" s="31" t="n">
        <v>46244</v>
      </c>
      <c r="C5" s="32" t="n">
        <v>26.6</v>
      </c>
      <c r="D5" s="33" t="n">
        <v>225.74</v>
      </c>
      <c r="E5" s="34" t="n">
        <f aca="false">C5*D5</f>
        <v>6004.684</v>
      </c>
      <c r="F5" s="33" t="n">
        <v>225.74</v>
      </c>
      <c r="G5" s="34" t="n">
        <f aca="false">C5*F5</f>
        <v>6004.684</v>
      </c>
      <c r="H5" s="34" t="n">
        <f aca="false">G5-E5</f>
        <v>0</v>
      </c>
      <c r="I5" s="35" t="n">
        <f aca="false">IF(E5=0,0,H5/E5)</f>
        <v>0</v>
      </c>
      <c r="J5" s="36" t="n">
        <f aca="true">IF(B5="","",TODAY()-B5)</f>
        <v>-6</v>
      </c>
      <c r="K5" s="37" t="n">
        <f aca="false">IF(B5="","",B5+366)</f>
        <v>46610</v>
      </c>
      <c r="L5" s="33" t="n">
        <v>290</v>
      </c>
      <c r="M5" s="33" t="n">
        <v>190</v>
      </c>
      <c r="N5" s="30" t="s">
        <v>90</v>
      </c>
    </row>
    <row r="6" customFormat="false" ht="15" hidden="false" customHeight="true" outlineLevel="0" collapsed="false">
      <c r="A6" s="30"/>
      <c r="B6" s="31"/>
      <c r="C6" s="32"/>
      <c r="D6" s="33"/>
      <c r="E6" s="34" t="str">
        <f aca="false">IF(C6="","",C6*D6)</f>
        <v/>
      </c>
      <c r="F6" s="33"/>
      <c r="G6" s="34" t="str">
        <f aca="false">IF(C6="","",C6*F6)</f>
        <v/>
      </c>
      <c r="H6" s="34" t="str">
        <f aca="false">IF(C6="","",G6-E6)</f>
        <v/>
      </c>
      <c r="I6" s="35" t="str">
        <f aca="false">IF(OR(C6="",E6=0),"",H6/E6)</f>
        <v/>
      </c>
      <c r="J6" s="36" t="str">
        <f aca="true">IF(B6="","",TODAY()-B6)</f>
        <v/>
      </c>
      <c r="K6" s="37" t="str">
        <f aca="false">IF(B6="","",B6+366)</f>
        <v/>
      </c>
      <c r="L6" s="33"/>
      <c r="M6" s="33"/>
      <c r="N6" s="30"/>
    </row>
    <row r="7" customFormat="false" ht="15" hidden="false" customHeight="true" outlineLevel="0" collapsed="false">
      <c r="A7" s="30"/>
      <c r="B7" s="31"/>
      <c r="C7" s="32"/>
      <c r="D7" s="33"/>
      <c r="E7" s="34" t="str">
        <f aca="false">IF(C7="","",C7*D7)</f>
        <v/>
      </c>
      <c r="F7" s="33"/>
      <c r="G7" s="34" t="str">
        <f aca="false">IF(C7="","",C7*F7)</f>
        <v/>
      </c>
      <c r="H7" s="34" t="str">
        <f aca="false">IF(C7="","",G7-E7)</f>
        <v/>
      </c>
      <c r="I7" s="35" t="str">
        <f aca="false">IF(OR(C7="",E7=0),"",H7/E7)</f>
        <v/>
      </c>
      <c r="J7" s="36" t="str">
        <f aca="true">IF(B7="","",TODAY()-B7)</f>
        <v/>
      </c>
      <c r="K7" s="37" t="str">
        <f aca="false">IF(B7="","",B7+366)</f>
        <v/>
      </c>
      <c r="L7" s="33"/>
      <c r="M7" s="33"/>
      <c r="N7" s="30"/>
    </row>
    <row r="8" customFormat="false" ht="15" hidden="false" customHeight="true" outlineLevel="0" collapsed="false">
      <c r="A8" s="30"/>
      <c r="B8" s="31"/>
      <c r="C8" s="32"/>
      <c r="D8" s="33"/>
      <c r="E8" s="34" t="str">
        <f aca="false">IF(C8="","",C8*D8)</f>
        <v/>
      </c>
      <c r="F8" s="33"/>
      <c r="G8" s="34" t="str">
        <f aca="false">IF(C8="","",C8*F8)</f>
        <v/>
      </c>
      <c r="H8" s="34" t="str">
        <f aca="false">IF(C8="","",G8-E8)</f>
        <v/>
      </c>
      <c r="I8" s="35" t="str">
        <f aca="false">IF(OR(C8="",E8=0),"",H8/E8)</f>
        <v/>
      </c>
      <c r="J8" s="36" t="str">
        <f aca="true">IF(B8="","",TODAY()-B8)</f>
        <v/>
      </c>
      <c r="K8" s="37" t="str">
        <f aca="false">IF(B8="","",B8+366)</f>
        <v/>
      </c>
      <c r="L8" s="33"/>
      <c r="M8" s="33"/>
      <c r="N8" s="30"/>
    </row>
    <row r="9" customFormat="false" ht="15" hidden="false" customHeight="true" outlineLevel="0" collapsed="false">
      <c r="A9" s="30"/>
      <c r="B9" s="31"/>
      <c r="C9" s="32"/>
      <c r="D9" s="33"/>
      <c r="E9" s="34" t="str">
        <f aca="false">IF(C9="","",C9*D9)</f>
        <v/>
      </c>
      <c r="F9" s="33"/>
      <c r="G9" s="34" t="str">
        <f aca="false">IF(C9="","",C9*F9)</f>
        <v/>
      </c>
      <c r="H9" s="34" t="str">
        <f aca="false">IF(C9="","",G9-E9)</f>
        <v/>
      </c>
      <c r="I9" s="35" t="str">
        <f aca="false">IF(OR(C9="",E9=0),"",H9/E9)</f>
        <v/>
      </c>
      <c r="J9" s="36" t="str">
        <f aca="true">IF(B9="","",TODAY()-B9)</f>
        <v/>
      </c>
      <c r="K9" s="37" t="str">
        <f aca="false">IF(B9="","",B9+366)</f>
        <v/>
      </c>
      <c r="L9" s="33"/>
      <c r="M9" s="33"/>
      <c r="N9" s="30"/>
    </row>
    <row r="10" customFormat="false" ht="15" hidden="false" customHeight="true" outlineLevel="0" collapsed="false">
      <c r="A10" s="30"/>
      <c r="B10" s="31"/>
      <c r="C10" s="32"/>
      <c r="D10" s="33"/>
      <c r="E10" s="34" t="str">
        <f aca="false">IF(C10="","",C10*D10)</f>
        <v/>
      </c>
      <c r="F10" s="33"/>
      <c r="G10" s="34" t="str">
        <f aca="false">IF(C10="","",C10*F10)</f>
        <v/>
      </c>
      <c r="H10" s="34" t="str">
        <f aca="false">IF(C10="","",G10-E10)</f>
        <v/>
      </c>
      <c r="I10" s="35" t="str">
        <f aca="false">IF(OR(C10="",E10=0),"",H10/E10)</f>
        <v/>
      </c>
      <c r="J10" s="36" t="str">
        <f aca="true">IF(B10="","",TODAY()-B10)</f>
        <v/>
      </c>
      <c r="K10" s="37" t="str">
        <f aca="false">IF(B10="","",B10+366)</f>
        <v/>
      </c>
      <c r="L10" s="33"/>
      <c r="M10" s="33"/>
      <c r="N10" s="30"/>
    </row>
    <row r="11" customFormat="false" ht="15" hidden="false" customHeight="true" outlineLevel="0" collapsed="false">
      <c r="A11" s="30"/>
      <c r="B11" s="31"/>
      <c r="C11" s="32"/>
      <c r="D11" s="33"/>
      <c r="E11" s="34" t="str">
        <f aca="false">IF(C11="","",C11*D11)</f>
        <v/>
      </c>
      <c r="F11" s="33"/>
      <c r="G11" s="34" t="str">
        <f aca="false">IF(C11="","",C11*F11)</f>
        <v/>
      </c>
      <c r="H11" s="34" t="str">
        <f aca="false">IF(C11="","",G11-E11)</f>
        <v/>
      </c>
      <c r="I11" s="35" t="str">
        <f aca="false">IF(OR(C11="",E11=0),"",H11/E11)</f>
        <v/>
      </c>
      <c r="J11" s="36" t="str">
        <f aca="true">IF(B11="","",TODAY()-B11)</f>
        <v/>
      </c>
      <c r="K11" s="37" t="str">
        <f aca="false">IF(B11="","",B11+366)</f>
        <v/>
      </c>
      <c r="L11" s="33"/>
      <c r="M11" s="33"/>
      <c r="N11" s="30"/>
    </row>
    <row r="12" customFormat="false" ht="15" hidden="false" customHeight="true" outlineLevel="0" collapsed="false">
      <c r="A12" s="30"/>
      <c r="B12" s="31"/>
      <c r="C12" s="32"/>
      <c r="D12" s="33"/>
      <c r="E12" s="34" t="str">
        <f aca="false">IF(C12="","",C12*D12)</f>
        <v/>
      </c>
      <c r="F12" s="33"/>
      <c r="G12" s="34" t="str">
        <f aca="false">IF(C12="","",C12*F12)</f>
        <v/>
      </c>
      <c r="H12" s="34" t="str">
        <f aca="false">IF(C12="","",G12-E12)</f>
        <v/>
      </c>
      <c r="I12" s="35" t="str">
        <f aca="false">IF(OR(C12="",E12=0),"",H12/E12)</f>
        <v/>
      </c>
      <c r="J12" s="36" t="str">
        <f aca="true">IF(B12="","",TODAY()-B12)</f>
        <v/>
      </c>
      <c r="K12" s="37" t="str">
        <f aca="false">IF(B12="","",B12+366)</f>
        <v/>
      </c>
      <c r="L12" s="33"/>
      <c r="M12" s="33"/>
      <c r="N12" s="30"/>
    </row>
    <row r="13" customFormat="false" ht="15" hidden="false" customHeight="true" outlineLevel="0" collapsed="false">
      <c r="A13" s="30"/>
      <c r="B13" s="31"/>
      <c r="C13" s="32"/>
      <c r="D13" s="33"/>
      <c r="E13" s="34" t="str">
        <f aca="false">IF(C13="","",C13*D13)</f>
        <v/>
      </c>
      <c r="F13" s="33"/>
      <c r="G13" s="34" t="str">
        <f aca="false">IF(C13="","",C13*F13)</f>
        <v/>
      </c>
      <c r="H13" s="34" t="str">
        <f aca="false">IF(C13="","",G13-E13)</f>
        <v/>
      </c>
      <c r="I13" s="35" t="str">
        <f aca="false">IF(OR(C13="",E13=0),"",H13/E13)</f>
        <v/>
      </c>
      <c r="J13" s="36" t="str">
        <f aca="true">IF(B13="","",TODAY()-B13)</f>
        <v/>
      </c>
      <c r="K13" s="37" t="str">
        <f aca="false">IF(B13="","",B13+366)</f>
        <v/>
      </c>
      <c r="L13" s="33"/>
      <c r="M13" s="33"/>
      <c r="N13" s="30"/>
    </row>
    <row r="14" customFormat="false" ht="15" hidden="false" customHeight="true" outlineLevel="0" collapsed="false">
      <c r="A14" s="30"/>
      <c r="B14" s="31"/>
      <c r="C14" s="32"/>
      <c r="D14" s="33"/>
      <c r="E14" s="34" t="str">
        <f aca="false">IF(C14="","",C14*D14)</f>
        <v/>
      </c>
      <c r="F14" s="33"/>
      <c r="G14" s="34" t="str">
        <f aca="false">IF(C14="","",C14*F14)</f>
        <v/>
      </c>
      <c r="H14" s="34" t="str">
        <f aca="false">IF(C14="","",G14-E14)</f>
        <v/>
      </c>
      <c r="I14" s="35" t="str">
        <f aca="false">IF(OR(C14="",E14=0),"",H14/E14)</f>
        <v/>
      </c>
      <c r="J14" s="36" t="str">
        <f aca="true">IF(B14="","",TODAY()-B14)</f>
        <v/>
      </c>
      <c r="K14" s="37" t="str">
        <f aca="false">IF(B14="","",B14+366)</f>
        <v/>
      </c>
      <c r="L14" s="33"/>
      <c r="M14" s="33"/>
      <c r="N14" s="30"/>
    </row>
    <row r="15" customFormat="false" ht="15" hidden="false" customHeight="true" outlineLevel="0" collapsed="false">
      <c r="A15" s="30"/>
      <c r="B15" s="31"/>
      <c r="C15" s="32"/>
      <c r="D15" s="33"/>
      <c r="E15" s="34" t="str">
        <f aca="false">IF(C15="","",C15*D15)</f>
        <v/>
      </c>
      <c r="F15" s="33"/>
      <c r="G15" s="34" t="str">
        <f aca="false">IF(C15="","",C15*F15)</f>
        <v/>
      </c>
      <c r="H15" s="34" t="str">
        <f aca="false">IF(C15="","",G15-E15)</f>
        <v/>
      </c>
      <c r="I15" s="35" t="str">
        <f aca="false">IF(OR(C15="",E15=0),"",H15/E15)</f>
        <v/>
      </c>
      <c r="J15" s="36" t="str">
        <f aca="true">IF(B15="","",TODAY()-B15)</f>
        <v/>
      </c>
      <c r="K15" s="37" t="str">
        <f aca="false">IF(B15="","",B15+366)</f>
        <v/>
      </c>
      <c r="L15" s="33"/>
      <c r="M15" s="33"/>
      <c r="N15" s="30"/>
    </row>
    <row r="16" customFormat="false" ht="15" hidden="false" customHeight="true" outlineLevel="0" collapsed="false">
      <c r="A16" s="30"/>
      <c r="B16" s="31"/>
      <c r="C16" s="32"/>
      <c r="D16" s="33"/>
      <c r="E16" s="34" t="str">
        <f aca="false">IF(C16="","",C16*D16)</f>
        <v/>
      </c>
      <c r="F16" s="33"/>
      <c r="G16" s="34" t="str">
        <f aca="false">IF(C16="","",C16*F16)</f>
        <v/>
      </c>
      <c r="H16" s="34" t="str">
        <f aca="false">IF(C16="","",G16-E16)</f>
        <v/>
      </c>
      <c r="I16" s="35" t="str">
        <f aca="false">IF(OR(C16="",E16=0),"",H16/E16)</f>
        <v/>
      </c>
      <c r="J16" s="36" t="str">
        <f aca="true">IF(B16="","",TODAY()-B16)</f>
        <v/>
      </c>
      <c r="K16" s="37" t="str">
        <f aca="false">IF(B16="","",B16+366)</f>
        <v/>
      </c>
      <c r="L16" s="33"/>
      <c r="M16" s="33"/>
      <c r="N16" s="30"/>
    </row>
    <row r="17" customFormat="false" ht="15" hidden="false" customHeight="true" outlineLevel="0" collapsed="false">
      <c r="A17" s="30"/>
      <c r="B17" s="31"/>
      <c r="C17" s="32"/>
      <c r="D17" s="33"/>
      <c r="E17" s="34" t="str">
        <f aca="false">IF(C17="","",C17*D17)</f>
        <v/>
      </c>
      <c r="F17" s="33"/>
      <c r="G17" s="34" t="str">
        <f aca="false">IF(C17="","",C17*F17)</f>
        <v/>
      </c>
      <c r="H17" s="34" t="str">
        <f aca="false">IF(C17="","",G17-E17)</f>
        <v/>
      </c>
      <c r="I17" s="35" t="str">
        <f aca="false">IF(OR(C17="",E17=0),"",H17/E17)</f>
        <v/>
      </c>
      <c r="J17" s="36" t="str">
        <f aca="true">IF(B17="","",TODAY()-B17)</f>
        <v/>
      </c>
      <c r="K17" s="37" t="str">
        <f aca="false">IF(B17="","",B17+366)</f>
        <v/>
      </c>
      <c r="L17" s="33"/>
      <c r="M17" s="33"/>
      <c r="N17" s="30"/>
    </row>
    <row r="18" customFormat="false" ht="15" hidden="false" customHeight="true" outlineLevel="0" collapsed="false">
      <c r="A18" s="30"/>
      <c r="B18" s="31"/>
      <c r="C18" s="32"/>
      <c r="D18" s="33"/>
      <c r="E18" s="34" t="str">
        <f aca="false">IF(C18="","",C18*D18)</f>
        <v/>
      </c>
      <c r="F18" s="33"/>
      <c r="G18" s="34" t="str">
        <f aca="false">IF(C18="","",C18*F18)</f>
        <v/>
      </c>
      <c r="H18" s="34" t="str">
        <f aca="false">IF(C18="","",G18-E18)</f>
        <v/>
      </c>
      <c r="I18" s="35" t="str">
        <f aca="false">IF(OR(C18="",E18=0),"",H18/E18)</f>
        <v/>
      </c>
      <c r="J18" s="36" t="str">
        <f aca="true">IF(B18="","",TODAY()-B18)</f>
        <v/>
      </c>
      <c r="K18" s="37" t="str">
        <f aca="false">IF(B18="","",B18+366)</f>
        <v/>
      </c>
      <c r="L18" s="33"/>
      <c r="M18" s="33"/>
      <c r="N18" s="30"/>
    </row>
    <row r="19" customFormat="false" ht="15" hidden="false" customHeight="true" outlineLevel="0" collapsed="false">
      <c r="A19" s="30"/>
      <c r="B19" s="31"/>
      <c r="C19" s="32"/>
      <c r="D19" s="33"/>
      <c r="E19" s="34" t="str">
        <f aca="false">IF(C19="","",C19*D19)</f>
        <v/>
      </c>
      <c r="F19" s="33"/>
      <c r="G19" s="34" t="str">
        <f aca="false">IF(C19="","",C19*F19)</f>
        <v/>
      </c>
      <c r="H19" s="34" t="str">
        <f aca="false">IF(C19="","",G19-E19)</f>
        <v/>
      </c>
      <c r="I19" s="35" t="str">
        <f aca="false">IF(OR(C19="",E19=0),"",H19/E19)</f>
        <v/>
      </c>
      <c r="J19" s="36" t="str">
        <f aca="true">IF(B19="","",TODAY()-B19)</f>
        <v/>
      </c>
      <c r="K19" s="37" t="str">
        <f aca="false">IF(B19="","",B19+366)</f>
        <v/>
      </c>
      <c r="L19" s="33"/>
      <c r="M19" s="33"/>
      <c r="N19" s="30"/>
    </row>
    <row r="20" customFormat="false" ht="15" hidden="false" customHeight="true" outlineLevel="0" collapsed="false">
      <c r="A20" s="30"/>
      <c r="B20" s="31"/>
      <c r="C20" s="32"/>
      <c r="D20" s="33"/>
      <c r="E20" s="34" t="str">
        <f aca="false">IF(C20="","",C20*D20)</f>
        <v/>
      </c>
      <c r="F20" s="33"/>
      <c r="G20" s="34" t="str">
        <f aca="false">IF(C20="","",C20*F20)</f>
        <v/>
      </c>
      <c r="H20" s="34" t="str">
        <f aca="false">IF(C20="","",G20-E20)</f>
        <v/>
      </c>
      <c r="I20" s="35" t="str">
        <f aca="false">IF(OR(C20="",E20=0),"",H20/E20)</f>
        <v/>
      </c>
      <c r="J20" s="36" t="str">
        <f aca="true">IF(B20="","",TODAY()-B20)</f>
        <v/>
      </c>
      <c r="K20" s="37" t="str">
        <f aca="false">IF(B20="","",B20+366)</f>
        <v/>
      </c>
      <c r="L20" s="33"/>
      <c r="M20" s="33"/>
      <c r="N20" s="30"/>
    </row>
    <row r="21" customFormat="false" ht="15" hidden="false" customHeight="true" outlineLevel="0" collapsed="false">
      <c r="A21" s="30"/>
      <c r="B21" s="31"/>
      <c r="C21" s="32"/>
      <c r="D21" s="33"/>
      <c r="E21" s="34" t="str">
        <f aca="false">IF(C21="","",C21*D21)</f>
        <v/>
      </c>
      <c r="F21" s="33"/>
      <c r="G21" s="34" t="str">
        <f aca="false">IF(C21="","",C21*F21)</f>
        <v/>
      </c>
      <c r="H21" s="34" t="str">
        <f aca="false">IF(C21="","",G21-E21)</f>
        <v/>
      </c>
      <c r="I21" s="35" t="str">
        <f aca="false">IF(OR(C21="",E21=0),"",H21/E21)</f>
        <v/>
      </c>
      <c r="J21" s="36" t="str">
        <f aca="true">IF(B21="","",TODAY()-B21)</f>
        <v/>
      </c>
      <c r="K21" s="37" t="str">
        <f aca="false">IF(B21="","",B21+366)</f>
        <v/>
      </c>
      <c r="L21" s="33"/>
      <c r="M21" s="33"/>
      <c r="N21" s="30"/>
    </row>
    <row r="22" customFormat="false" ht="15" hidden="false" customHeight="true" outlineLevel="0" collapsed="false">
      <c r="A22" s="30"/>
      <c r="B22" s="31"/>
      <c r="C22" s="32"/>
      <c r="D22" s="33"/>
      <c r="E22" s="34" t="str">
        <f aca="false">IF(C22="","",C22*D22)</f>
        <v/>
      </c>
      <c r="F22" s="33"/>
      <c r="G22" s="34" t="str">
        <f aca="false">IF(C22="","",C22*F22)</f>
        <v/>
      </c>
      <c r="H22" s="34" t="str">
        <f aca="false">IF(C22="","",G22-E22)</f>
        <v/>
      </c>
      <c r="I22" s="35" t="str">
        <f aca="false">IF(OR(C22="",E22=0),"",H22/E22)</f>
        <v/>
      </c>
      <c r="J22" s="36" t="str">
        <f aca="true">IF(B22="","",TODAY()-B22)</f>
        <v/>
      </c>
      <c r="K22" s="37" t="str">
        <f aca="false">IF(B22="","",B22+366)</f>
        <v/>
      </c>
      <c r="L22" s="33"/>
      <c r="M22" s="33"/>
      <c r="N22" s="30"/>
    </row>
    <row r="23" customFormat="false" ht="15" hidden="false" customHeight="true" outlineLevel="0" collapsed="false">
      <c r="A23" s="30"/>
      <c r="B23" s="31"/>
      <c r="C23" s="32"/>
      <c r="D23" s="33"/>
      <c r="E23" s="34" t="str">
        <f aca="false">IF(C23="","",C23*D23)</f>
        <v/>
      </c>
      <c r="F23" s="33"/>
      <c r="G23" s="34" t="str">
        <f aca="false">IF(C23="","",C23*F23)</f>
        <v/>
      </c>
      <c r="H23" s="34" t="str">
        <f aca="false">IF(C23="","",G23-E23)</f>
        <v/>
      </c>
      <c r="I23" s="35" t="str">
        <f aca="false">IF(OR(C23="",E23=0),"",H23/E23)</f>
        <v/>
      </c>
      <c r="J23" s="36" t="str">
        <f aca="true">IF(B23="","",TODAY()-B23)</f>
        <v/>
      </c>
      <c r="K23" s="37" t="str">
        <f aca="false">IF(B23="","",B23+366)</f>
        <v/>
      </c>
      <c r="L23" s="33"/>
      <c r="M23" s="33"/>
      <c r="N23" s="30"/>
    </row>
    <row r="24" customFormat="false" ht="15" hidden="false" customHeight="true" outlineLevel="0" collapsed="false">
      <c r="A24" s="30"/>
      <c r="B24" s="31"/>
      <c r="C24" s="32"/>
      <c r="D24" s="33"/>
      <c r="E24" s="34" t="str">
        <f aca="false">IF(C24="","",C24*D24)</f>
        <v/>
      </c>
      <c r="F24" s="33"/>
      <c r="G24" s="34" t="str">
        <f aca="false">IF(C24="","",C24*F24)</f>
        <v/>
      </c>
      <c r="H24" s="34" t="str">
        <f aca="false">IF(C24="","",G24-E24)</f>
        <v/>
      </c>
      <c r="I24" s="35" t="str">
        <f aca="false">IF(OR(C24="",E24=0),"",H24/E24)</f>
        <v/>
      </c>
      <c r="J24" s="36" t="str">
        <f aca="true">IF(B24="","",TODAY()-B24)</f>
        <v/>
      </c>
      <c r="K24" s="37" t="str">
        <f aca="false">IF(B24="","",B24+366)</f>
        <v/>
      </c>
      <c r="L24" s="33"/>
      <c r="M24" s="33"/>
      <c r="N24" s="30"/>
    </row>
    <row r="26" customFormat="false" ht="15" hidden="false" customHeight="true" outlineLevel="0" collapsed="false">
      <c r="A26" s="7" t="s">
        <v>91</v>
      </c>
      <c r="E26" s="38" t="n">
        <f aca="false">SUM(E5:E24)</f>
        <v>6004.684</v>
      </c>
      <c r="G26" s="38" t="n">
        <f aca="false">SUM(G5:G24)</f>
        <v>6004.684</v>
      </c>
      <c r="H26" s="38" t="n">
        <f aca="false">SUM(H5:H24)</f>
        <v>0</v>
      </c>
      <c r="I26" s="39" t="n">
        <f aca="false">IF(E26=0,0,H26/E26)</f>
        <v>0</v>
      </c>
    </row>
    <row r="28" customFormat="false" ht="15" hidden="false" customHeight="true" outlineLevel="0" collapsed="false">
      <c r="A28" s="4" t="s">
        <v>92</v>
      </c>
      <c r="E28" s="40" t="n">
        <f aca="false">'Cash Flow'!B76</f>
        <v>-4.68000000000029</v>
      </c>
    </row>
    <row r="29" customFormat="false" ht="15" hidden="false" customHeight="true" outlineLevel="0" collapsed="false">
      <c r="A29" s="7" t="s">
        <v>93</v>
      </c>
      <c r="E29" s="41" t="n">
        <f aca="false">G26+E28</f>
        <v>6000.004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3" min="2" style="1" width="11"/>
    <col collapsed="false" customWidth="true" hidden="false" outlineLevel="0" max="4" min="4" style="1" width="9"/>
    <col collapsed="false" customWidth="true" hidden="false" outlineLevel="0" max="6" min="5" style="1" width="12"/>
    <col collapsed="false" customWidth="true" hidden="false" outlineLevel="0" max="7" min="7" style="1" width="13"/>
    <col collapsed="false" customWidth="true" hidden="false" outlineLevel="0" max="8" min="8" style="1" width="10"/>
    <col collapsed="false" customWidth="true" hidden="false" outlineLevel="0" max="9" min="9" style="1" width="8"/>
    <col collapsed="false" customWidth="true" hidden="false" outlineLevel="0" max="10" min="10" style="1" width="9"/>
    <col collapsed="false" customWidth="true" hidden="false" outlineLevel="0" max="11" min="11" style="1" width="12"/>
    <col collapsed="false" customWidth="true" hidden="false" outlineLevel="0" max="12" min="12" style="1" width="32"/>
  </cols>
  <sheetData>
    <row r="1" customFormat="false" ht="17.25" hidden="false" customHeight="true" outlineLevel="0" collapsed="false">
      <c r="A1" s="14" t="s">
        <v>94</v>
      </c>
    </row>
    <row r="2" customFormat="false" ht="15" hidden="false" customHeight="true" outlineLevel="0" collapsed="false">
      <c r="A2" s="29" t="s">
        <v>95</v>
      </c>
    </row>
    <row r="4" customFormat="false" ht="23.25" hidden="false" customHeight="true" outlineLevel="0" collapsed="false">
      <c r="A4" s="18" t="s">
        <v>53</v>
      </c>
      <c r="B4" s="18" t="s">
        <v>96</v>
      </c>
      <c r="C4" s="18" t="s">
        <v>97</v>
      </c>
      <c r="D4" s="18" t="s">
        <v>85</v>
      </c>
      <c r="E4" s="18" t="s">
        <v>80</v>
      </c>
      <c r="F4" s="18" t="s">
        <v>98</v>
      </c>
      <c r="G4" s="18" t="s">
        <v>99</v>
      </c>
      <c r="H4" s="18" t="s">
        <v>100</v>
      </c>
      <c r="I4" s="18" t="s">
        <v>101</v>
      </c>
      <c r="J4" s="18" t="s">
        <v>102</v>
      </c>
      <c r="K4" s="18" t="s">
        <v>103</v>
      </c>
      <c r="L4" s="18" t="s">
        <v>55</v>
      </c>
    </row>
    <row r="5" customFormat="false" ht="15" hidden="false" customHeight="true" outlineLevel="0" collapsed="false">
      <c r="A5" s="30" t="s">
        <v>104</v>
      </c>
      <c r="B5" s="31" t="n">
        <v>46083</v>
      </c>
      <c r="C5" s="31" t="n">
        <v>46188</v>
      </c>
      <c r="D5" s="36" t="n">
        <f aca="false">IF(OR(B5="",C5=""),"",C5-B5)</f>
        <v>105</v>
      </c>
      <c r="E5" s="33" t="n">
        <v>1000</v>
      </c>
      <c r="F5" s="33" t="n">
        <v>2455.11</v>
      </c>
      <c r="G5" s="34" t="n">
        <f aca="false">F5-E5</f>
        <v>1455.11</v>
      </c>
      <c r="H5" s="35" t="n">
        <f aca="false">IF(E5=0,"",G5/E5)</f>
        <v>1.45511</v>
      </c>
      <c r="I5" s="42" t="str">
        <f aca="false">IF(D5="","",IF(D5&gt;365,"LT","ST"))</f>
        <v>ST</v>
      </c>
      <c r="J5" s="36" t="n">
        <f aca="false">IF(C5="","",YEAR(C5))</f>
        <v>2026</v>
      </c>
      <c r="K5" s="30" t="s">
        <v>105</v>
      </c>
      <c r="L5" s="30" t="s">
        <v>106</v>
      </c>
    </row>
    <row r="6" customFormat="false" ht="15" hidden="false" customHeight="true" outlineLevel="0" collapsed="false">
      <c r="A6" s="30"/>
      <c r="B6" s="31"/>
      <c r="C6" s="31"/>
      <c r="D6" s="36" t="str">
        <f aca="false">IF(OR(B6="",C6=""),"",C6-B6)</f>
        <v/>
      </c>
      <c r="E6" s="33"/>
      <c r="F6" s="33"/>
      <c r="G6" s="34" t="str">
        <f aca="false">IF(OR(E6="",F6=""),"",F6-E6)</f>
        <v/>
      </c>
      <c r="H6" s="35" t="str">
        <f aca="false">IF(OR(E6="",E6=0),"",G6/E6)</f>
        <v/>
      </c>
      <c r="I6" s="42" t="str">
        <f aca="false">IF(D6="","",IF(D6&gt;365,"LT","ST"))</f>
        <v/>
      </c>
      <c r="J6" s="36" t="str">
        <f aca="false">IF(C6="","",YEAR(C6))</f>
        <v/>
      </c>
      <c r="K6" s="30"/>
      <c r="L6" s="30"/>
    </row>
    <row r="7" customFormat="false" ht="15" hidden="false" customHeight="true" outlineLevel="0" collapsed="false">
      <c r="A7" s="30"/>
      <c r="B7" s="31"/>
      <c r="C7" s="31"/>
      <c r="D7" s="36" t="str">
        <f aca="false">IF(OR(B7="",C7=""),"",C7-B7)</f>
        <v/>
      </c>
      <c r="E7" s="33"/>
      <c r="F7" s="33"/>
      <c r="G7" s="34" t="str">
        <f aca="false">IF(OR(E7="",F7=""),"",F7-E7)</f>
        <v/>
      </c>
      <c r="H7" s="35" t="str">
        <f aca="false">IF(OR(E7="",E7=0),"",G7/E7)</f>
        <v/>
      </c>
      <c r="I7" s="42" t="str">
        <f aca="false">IF(D7="","",IF(D7&gt;365,"LT","ST"))</f>
        <v/>
      </c>
      <c r="J7" s="36" t="str">
        <f aca="false">IF(C7="","",YEAR(C7))</f>
        <v/>
      </c>
      <c r="K7" s="30"/>
      <c r="L7" s="30"/>
    </row>
    <row r="8" customFormat="false" ht="15" hidden="false" customHeight="true" outlineLevel="0" collapsed="false">
      <c r="A8" s="30"/>
      <c r="B8" s="31"/>
      <c r="C8" s="31"/>
      <c r="D8" s="36" t="str">
        <f aca="false">IF(OR(B8="",C8=""),"",C8-B8)</f>
        <v/>
      </c>
      <c r="E8" s="33"/>
      <c r="F8" s="33"/>
      <c r="G8" s="34" t="str">
        <f aca="false">IF(OR(E8="",F8=""),"",F8-E8)</f>
        <v/>
      </c>
      <c r="H8" s="35" t="str">
        <f aca="false">IF(OR(E8="",E8=0),"",G8/E8)</f>
        <v/>
      </c>
      <c r="I8" s="42" t="str">
        <f aca="false">IF(D8="","",IF(D8&gt;365,"LT","ST"))</f>
        <v/>
      </c>
      <c r="J8" s="36" t="str">
        <f aca="false">IF(C8="","",YEAR(C8))</f>
        <v/>
      </c>
      <c r="K8" s="30"/>
      <c r="L8" s="30"/>
    </row>
    <row r="9" customFormat="false" ht="15" hidden="false" customHeight="true" outlineLevel="0" collapsed="false">
      <c r="A9" s="30"/>
      <c r="B9" s="31"/>
      <c r="C9" s="31"/>
      <c r="D9" s="36" t="str">
        <f aca="false">IF(OR(B9="",C9=""),"",C9-B9)</f>
        <v/>
      </c>
      <c r="E9" s="33"/>
      <c r="F9" s="33"/>
      <c r="G9" s="34" t="str">
        <f aca="false">IF(OR(E9="",F9=""),"",F9-E9)</f>
        <v/>
      </c>
      <c r="H9" s="35" t="str">
        <f aca="false">IF(OR(E9="",E9=0),"",G9/E9)</f>
        <v/>
      </c>
      <c r="I9" s="42" t="str">
        <f aca="false">IF(D9="","",IF(D9&gt;365,"LT","ST"))</f>
        <v/>
      </c>
      <c r="J9" s="36" t="str">
        <f aca="false">IF(C9="","",YEAR(C9))</f>
        <v/>
      </c>
      <c r="K9" s="30"/>
      <c r="L9" s="30"/>
    </row>
    <row r="10" customFormat="false" ht="15" hidden="false" customHeight="true" outlineLevel="0" collapsed="false">
      <c r="A10" s="30"/>
      <c r="B10" s="31"/>
      <c r="C10" s="31"/>
      <c r="D10" s="36" t="str">
        <f aca="false">IF(OR(B10="",C10=""),"",C10-B10)</f>
        <v/>
      </c>
      <c r="E10" s="33"/>
      <c r="F10" s="33"/>
      <c r="G10" s="34" t="str">
        <f aca="false">IF(OR(E10="",F10=""),"",F10-E10)</f>
        <v/>
      </c>
      <c r="H10" s="35" t="str">
        <f aca="false">IF(OR(E10="",E10=0),"",G10/E10)</f>
        <v/>
      </c>
      <c r="I10" s="42" t="str">
        <f aca="false">IF(D10="","",IF(D10&gt;365,"LT","ST"))</f>
        <v/>
      </c>
      <c r="J10" s="36" t="str">
        <f aca="false">IF(C10="","",YEAR(C10))</f>
        <v/>
      </c>
      <c r="K10" s="30"/>
      <c r="L10" s="30"/>
    </row>
    <row r="11" customFormat="false" ht="15" hidden="false" customHeight="true" outlineLevel="0" collapsed="false">
      <c r="A11" s="30"/>
      <c r="B11" s="31"/>
      <c r="C11" s="31"/>
      <c r="D11" s="36" t="str">
        <f aca="false">IF(OR(B11="",C11=""),"",C11-B11)</f>
        <v/>
      </c>
      <c r="E11" s="33"/>
      <c r="F11" s="33"/>
      <c r="G11" s="34" t="str">
        <f aca="false">IF(OR(E11="",F11=""),"",F11-E11)</f>
        <v/>
      </c>
      <c r="H11" s="35" t="str">
        <f aca="false">IF(OR(E11="",E11=0),"",G11/E11)</f>
        <v/>
      </c>
      <c r="I11" s="42" t="str">
        <f aca="false">IF(D11="","",IF(D11&gt;365,"LT","ST"))</f>
        <v/>
      </c>
      <c r="J11" s="36" t="str">
        <f aca="false">IF(C11="","",YEAR(C11))</f>
        <v/>
      </c>
      <c r="K11" s="30"/>
      <c r="L11" s="30"/>
    </row>
    <row r="12" customFormat="false" ht="15" hidden="false" customHeight="true" outlineLevel="0" collapsed="false">
      <c r="A12" s="30"/>
      <c r="B12" s="31"/>
      <c r="C12" s="31"/>
      <c r="D12" s="36" t="str">
        <f aca="false">IF(OR(B12="",C12=""),"",C12-B12)</f>
        <v/>
      </c>
      <c r="E12" s="33"/>
      <c r="F12" s="33"/>
      <c r="G12" s="34" t="str">
        <f aca="false">IF(OR(E12="",F12=""),"",F12-E12)</f>
        <v/>
      </c>
      <c r="H12" s="35" t="str">
        <f aca="false">IF(OR(E12="",E12=0),"",G12/E12)</f>
        <v/>
      </c>
      <c r="I12" s="42" t="str">
        <f aca="false">IF(D12="","",IF(D12&gt;365,"LT","ST"))</f>
        <v/>
      </c>
      <c r="J12" s="36" t="str">
        <f aca="false">IF(C12="","",YEAR(C12))</f>
        <v/>
      </c>
      <c r="K12" s="30"/>
      <c r="L12" s="30"/>
    </row>
    <row r="13" customFormat="false" ht="15" hidden="false" customHeight="true" outlineLevel="0" collapsed="false">
      <c r="A13" s="30"/>
      <c r="B13" s="31"/>
      <c r="C13" s="31"/>
      <c r="D13" s="36" t="str">
        <f aca="false">IF(OR(B13="",C13=""),"",C13-B13)</f>
        <v/>
      </c>
      <c r="E13" s="33"/>
      <c r="F13" s="33"/>
      <c r="G13" s="34" t="str">
        <f aca="false">IF(OR(E13="",F13=""),"",F13-E13)</f>
        <v/>
      </c>
      <c r="H13" s="35" t="str">
        <f aca="false">IF(OR(E13="",E13=0),"",G13/E13)</f>
        <v/>
      </c>
      <c r="I13" s="42" t="str">
        <f aca="false">IF(D13="","",IF(D13&gt;365,"LT","ST"))</f>
        <v/>
      </c>
      <c r="J13" s="36" t="str">
        <f aca="false">IF(C13="","",YEAR(C13))</f>
        <v/>
      </c>
      <c r="K13" s="30"/>
      <c r="L13" s="30"/>
    </row>
    <row r="14" customFormat="false" ht="15" hidden="false" customHeight="true" outlineLevel="0" collapsed="false">
      <c r="A14" s="30"/>
      <c r="B14" s="31"/>
      <c r="C14" s="31"/>
      <c r="D14" s="36" t="str">
        <f aca="false">IF(OR(B14="",C14=""),"",C14-B14)</f>
        <v/>
      </c>
      <c r="E14" s="33"/>
      <c r="F14" s="33"/>
      <c r="G14" s="34" t="str">
        <f aca="false">IF(OR(E14="",F14=""),"",F14-E14)</f>
        <v/>
      </c>
      <c r="H14" s="35" t="str">
        <f aca="false">IF(OR(E14="",E14=0),"",G14/E14)</f>
        <v/>
      </c>
      <c r="I14" s="42" t="str">
        <f aca="false">IF(D14="","",IF(D14&gt;365,"LT","ST"))</f>
        <v/>
      </c>
      <c r="J14" s="36" t="str">
        <f aca="false">IF(C14="","",YEAR(C14))</f>
        <v/>
      </c>
      <c r="K14" s="30"/>
      <c r="L14" s="30"/>
    </row>
    <row r="15" customFormat="false" ht="15" hidden="false" customHeight="true" outlineLevel="0" collapsed="false">
      <c r="A15" s="30"/>
      <c r="B15" s="31"/>
      <c r="C15" s="31"/>
      <c r="D15" s="36" t="str">
        <f aca="false">IF(OR(B15="",C15=""),"",C15-B15)</f>
        <v/>
      </c>
      <c r="E15" s="33"/>
      <c r="F15" s="33"/>
      <c r="G15" s="34" t="str">
        <f aca="false">IF(OR(E15="",F15=""),"",F15-E15)</f>
        <v/>
      </c>
      <c r="H15" s="35" t="str">
        <f aca="false">IF(OR(E15="",E15=0),"",G15/E15)</f>
        <v/>
      </c>
      <c r="I15" s="42" t="str">
        <f aca="false">IF(D15="","",IF(D15&gt;365,"LT","ST"))</f>
        <v/>
      </c>
      <c r="J15" s="36" t="str">
        <f aca="false">IF(C15="","",YEAR(C15))</f>
        <v/>
      </c>
      <c r="K15" s="30"/>
      <c r="L15" s="30"/>
    </row>
    <row r="16" customFormat="false" ht="15" hidden="false" customHeight="true" outlineLevel="0" collapsed="false">
      <c r="A16" s="30"/>
      <c r="B16" s="31"/>
      <c r="C16" s="31"/>
      <c r="D16" s="36" t="str">
        <f aca="false">IF(OR(B16="",C16=""),"",C16-B16)</f>
        <v/>
      </c>
      <c r="E16" s="33"/>
      <c r="F16" s="33"/>
      <c r="G16" s="34" t="str">
        <f aca="false">IF(OR(E16="",F16=""),"",F16-E16)</f>
        <v/>
      </c>
      <c r="H16" s="35" t="str">
        <f aca="false">IF(OR(E16="",E16=0),"",G16/E16)</f>
        <v/>
      </c>
      <c r="I16" s="42" t="str">
        <f aca="false">IF(D16="","",IF(D16&gt;365,"LT","ST"))</f>
        <v/>
      </c>
      <c r="J16" s="36" t="str">
        <f aca="false">IF(C16="","",YEAR(C16))</f>
        <v/>
      </c>
      <c r="K16" s="30"/>
      <c r="L16" s="30"/>
    </row>
    <row r="17" customFormat="false" ht="15" hidden="false" customHeight="true" outlineLevel="0" collapsed="false">
      <c r="A17" s="30"/>
      <c r="B17" s="31"/>
      <c r="C17" s="31"/>
      <c r="D17" s="36" t="str">
        <f aca="false">IF(OR(B17="",C17=""),"",C17-B17)</f>
        <v/>
      </c>
      <c r="E17" s="33"/>
      <c r="F17" s="33"/>
      <c r="G17" s="34" t="str">
        <f aca="false">IF(OR(E17="",F17=""),"",F17-E17)</f>
        <v/>
      </c>
      <c r="H17" s="35" t="str">
        <f aca="false">IF(OR(E17="",E17=0),"",G17/E17)</f>
        <v/>
      </c>
      <c r="I17" s="42" t="str">
        <f aca="false">IF(D17="","",IF(D17&gt;365,"LT","ST"))</f>
        <v/>
      </c>
      <c r="J17" s="36" t="str">
        <f aca="false">IF(C17="","",YEAR(C17))</f>
        <v/>
      </c>
      <c r="K17" s="30"/>
      <c r="L17" s="30"/>
    </row>
    <row r="18" customFormat="false" ht="15" hidden="false" customHeight="true" outlineLevel="0" collapsed="false">
      <c r="A18" s="30"/>
      <c r="B18" s="31"/>
      <c r="C18" s="31"/>
      <c r="D18" s="36" t="str">
        <f aca="false">IF(OR(B18="",C18=""),"",C18-B18)</f>
        <v/>
      </c>
      <c r="E18" s="33"/>
      <c r="F18" s="33"/>
      <c r="G18" s="34" t="str">
        <f aca="false">IF(OR(E18="",F18=""),"",F18-E18)</f>
        <v/>
      </c>
      <c r="H18" s="35" t="str">
        <f aca="false">IF(OR(E18="",E18=0),"",G18/E18)</f>
        <v/>
      </c>
      <c r="I18" s="42" t="str">
        <f aca="false">IF(D18="","",IF(D18&gt;365,"LT","ST"))</f>
        <v/>
      </c>
      <c r="J18" s="36" t="str">
        <f aca="false">IF(C18="","",YEAR(C18))</f>
        <v/>
      </c>
      <c r="K18" s="30"/>
      <c r="L18" s="30"/>
    </row>
    <row r="19" customFormat="false" ht="15" hidden="false" customHeight="true" outlineLevel="0" collapsed="false">
      <c r="A19" s="30"/>
      <c r="B19" s="31"/>
      <c r="C19" s="31"/>
      <c r="D19" s="36" t="str">
        <f aca="false">IF(OR(B19="",C19=""),"",C19-B19)</f>
        <v/>
      </c>
      <c r="E19" s="33"/>
      <c r="F19" s="33"/>
      <c r="G19" s="34" t="str">
        <f aca="false">IF(OR(E19="",F19=""),"",F19-E19)</f>
        <v/>
      </c>
      <c r="H19" s="35" t="str">
        <f aca="false">IF(OR(E19="",E19=0),"",G19/E19)</f>
        <v/>
      </c>
      <c r="I19" s="42" t="str">
        <f aca="false">IF(D19="","",IF(D19&gt;365,"LT","ST"))</f>
        <v/>
      </c>
      <c r="J19" s="36" t="str">
        <f aca="false">IF(C19="","",YEAR(C19))</f>
        <v/>
      </c>
      <c r="K19" s="30"/>
      <c r="L19" s="30"/>
    </row>
    <row r="20" customFormat="false" ht="15" hidden="false" customHeight="true" outlineLevel="0" collapsed="false">
      <c r="A20" s="30"/>
      <c r="B20" s="31"/>
      <c r="C20" s="31"/>
      <c r="D20" s="36" t="str">
        <f aca="false">IF(OR(B20="",C20=""),"",C20-B20)</f>
        <v/>
      </c>
      <c r="E20" s="33"/>
      <c r="F20" s="33"/>
      <c r="G20" s="34" t="str">
        <f aca="false">IF(OR(E20="",F20=""),"",F20-E20)</f>
        <v/>
      </c>
      <c r="H20" s="35" t="str">
        <f aca="false">IF(OR(E20="",E20=0),"",G20/E20)</f>
        <v/>
      </c>
      <c r="I20" s="42" t="str">
        <f aca="false">IF(D20="","",IF(D20&gt;365,"LT","ST"))</f>
        <v/>
      </c>
      <c r="J20" s="36" t="str">
        <f aca="false">IF(C20="","",YEAR(C20))</f>
        <v/>
      </c>
      <c r="K20" s="30"/>
      <c r="L20" s="30"/>
    </row>
    <row r="21" customFormat="false" ht="15" hidden="false" customHeight="true" outlineLevel="0" collapsed="false">
      <c r="A21" s="30"/>
      <c r="B21" s="31"/>
      <c r="C21" s="31"/>
      <c r="D21" s="36" t="str">
        <f aca="false">IF(OR(B21="",C21=""),"",C21-B21)</f>
        <v/>
      </c>
      <c r="E21" s="33"/>
      <c r="F21" s="33"/>
      <c r="G21" s="34" t="str">
        <f aca="false">IF(OR(E21="",F21=""),"",F21-E21)</f>
        <v/>
      </c>
      <c r="H21" s="35" t="str">
        <f aca="false">IF(OR(E21="",E21=0),"",G21/E21)</f>
        <v/>
      </c>
      <c r="I21" s="42" t="str">
        <f aca="false">IF(D21="","",IF(D21&gt;365,"LT","ST"))</f>
        <v/>
      </c>
      <c r="J21" s="36" t="str">
        <f aca="false">IF(C21="","",YEAR(C21))</f>
        <v/>
      </c>
      <c r="K21" s="30"/>
      <c r="L21" s="30"/>
    </row>
    <row r="22" customFormat="false" ht="15" hidden="false" customHeight="true" outlineLevel="0" collapsed="false">
      <c r="A22" s="30"/>
      <c r="B22" s="31"/>
      <c r="C22" s="31"/>
      <c r="D22" s="36" t="str">
        <f aca="false">IF(OR(B22="",C22=""),"",C22-B22)</f>
        <v/>
      </c>
      <c r="E22" s="33"/>
      <c r="F22" s="33"/>
      <c r="G22" s="34" t="str">
        <f aca="false">IF(OR(E22="",F22=""),"",F22-E22)</f>
        <v/>
      </c>
      <c r="H22" s="35" t="str">
        <f aca="false">IF(OR(E22="",E22=0),"",G22/E22)</f>
        <v/>
      </c>
      <c r="I22" s="42" t="str">
        <f aca="false">IF(D22="","",IF(D22&gt;365,"LT","ST"))</f>
        <v/>
      </c>
      <c r="J22" s="36" t="str">
        <f aca="false">IF(C22="","",YEAR(C22))</f>
        <v/>
      </c>
      <c r="K22" s="30"/>
      <c r="L22" s="30"/>
    </row>
    <row r="23" customFormat="false" ht="15" hidden="false" customHeight="true" outlineLevel="0" collapsed="false">
      <c r="A23" s="30"/>
      <c r="B23" s="31"/>
      <c r="C23" s="31"/>
      <c r="D23" s="36" t="str">
        <f aca="false">IF(OR(B23="",C23=""),"",C23-B23)</f>
        <v/>
      </c>
      <c r="E23" s="33"/>
      <c r="F23" s="33"/>
      <c r="G23" s="34" t="str">
        <f aca="false">IF(OR(E23="",F23=""),"",F23-E23)</f>
        <v/>
      </c>
      <c r="H23" s="35" t="str">
        <f aca="false">IF(OR(E23="",E23=0),"",G23/E23)</f>
        <v/>
      </c>
      <c r="I23" s="42" t="str">
        <f aca="false">IF(D23="","",IF(D23&gt;365,"LT","ST"))</f>
        <v/>
      </c>
      <c r="J23" s="36" t="str">
        <f aca="false">IF(C23="","",YEAR(C23))</f>
        <v/>
      </c>
      <c r="K23" s="30"/>
      <c r="L23" s="30"/>
    </row>
    <row r="24" customFormat="false" ht="15" hidden="false" customHeight="true" outlineLevel="0" collapsed="false">
      <c r="A24" s="30"/>
      <c r="B24" s="31"/>
      <c r="C24" s="31"/>
      <c r="D24" s="36" t="str">
        <f aca="false">IF(OR(B24="",C24=""),"",C24-B24)</f>
        <v/>
      </c>
      <c r="E24" s="33"/>
      <c r="F24" s="33"/>
      <c r="G24" s="34" t="str">
        <f aca="false">IF(OR(E24="",F24=""),"",F24-E24)</f>
        <v/>
      </c>
      <c r="H24" s="35" t="str">
        <f aca="false">IF(OR(E24="",E24=0),"",G24/E24)</f>
        <v/>
      </c>
      <c r="I24" s="42" t="str">
        <f aca="false">IF(D24="","",IF(D24&gt;365,"LT","ST"))</f>
        <v/>
      </c>
      <c r="J24" s="36" t="str">
        <f aca="false">IF(C24="","",YEAR(C24))</f>
        <v/>
      </c>
      <c r="K24" s="30"/>
      <c r="L24" s="30"/>
    </row>
    <row r="25" customFormat="false" ht="15" hidden="false" customHeight="true" outlineLevel="0" collapsed="false">
      <c r="A25" s="30"/>
      <c r="B25" s="31"/>
      <c r="C25" s="31"/>
      <c r="D25" s="36" t="str">
        <f aca="false">IF(OR(B25="",C25=""),"",C25-B25)</f>
        <v/>
      </c>
      <c r="E25" s="33"/>
      <c r="F25" s="33"/>
      <c r="G25" s="34" t="str">
        <f aca="false">IF(OR(E25="",F25=""),"",F25-E25)</f>
        <v/>
      </c>
      <c r="H25" s="35" t="str">
        <f aca="false">IF(OR(E25="",E25=0),"",G25/E25)</f>
        <v/>
      </c>
      <c r="I25" s="42" t="str">
        <f aca="false">IF(D25="","",IF(D25&gt;365,"LT","ST"))</f>
        <v/>
      </c>
      <c r="J25" s="36" t="str">
        <f aca="false">IF(C25="","",YEAR(C25))</f>
        <v/>
      </c>
      <c r="K25" s="30"/>
      <c r="L25" s="30"/>
    </row>
    <row r="26" customFormat="false" ht="15" hidden="false" customHeight="true" outlineLevel="0" collapsed="false">
      <c r="A26" s="30"/>
      <c r="B26" s="31"/>
      <c r="C26" s="31"/>
      <c r="D26" s="36" t="str">
        <f aca="false">IF(OR(B26="",C26=""),"",C26-B26)</f>
        <v/>
      </c>
      <c r="E26" s="33"/>
      <c r="F26" s="33"/>
      <c r="G26" s="34" t="str">
        <f aca="false">IF(OR(E26="",F26=""),"",F26-E26)</f>
        <v/>
      </c>
      <c r="H26" s="35" t="str">
        <f aca="false">IF(OR(E26="",E26=0),"",G26/E26)</f>
        <v/>
      </c>
      <c r="I26" s="42" t="str">
        <f aca="false">IF(D26="","",IF(D26&gt;365,"LT","ST"))</f>
        <v/>
      </c>
      <c r="J26" s="36" t="str">
        <f aca="false">IF(C26="","",YEAR(C26))</f>
        <v/>
      </c>
      <c r="K26" s="30"/>
      <c r="L26" s="30"/>
    </row>
    <row r="27" customFormat="false" ht="15" hidden="false" customHeight="true" outlineLevel="0" collapsed="false">
      <c r="A27" s="30"/>
      <c r="B27" s="31"/>
      <c r="C27" s="31"/>
      <c r="D27" s="36" t="str">
        <f aca="false">IF(OR(B27="",C27=""),"",C27-B27)</f>
        <v/>
      </c>
      <c r="E27" s="33"/>
      <c r="F27" s="33"/>
      <c r="G27" s="34" t="str">
        <f aca="false">IF(OR(E27="",F27=""),"",F27-E27)</f>
        <v/>
      </c>
      <c r="H27" s="35" t="str">
        <f aca="false">IF(OR(E27="",E27=0),"",G27/E27)</f>
        <v/>
      </c>
      <c r="I27" s="42" t="str">
        <f aca="false">IF(D27="","",IF(D27&gt;365,"LT","ST"))</f>
        <v/>
      </c>
      <c r="J27" s="36" t="str">
        <f aca="false">IF(C27="","",YEAR(C27))</f>
        <v/>
      </c>
      <c r="K27" s="30"/>
      <c r="L27" s="30"/>
    </row>
    <row r="28" customFormat="false" ht="15" hidden="false" customHeight="true" outlineLevel="0" collapsed="false">
      <c r="A28" s="30"/>
      <c r="B28" s="31"/>
      <c r="C28" s="31"/>
      <c r="D28" s="36" t="str">
        <f aca="false">IF(OR(B28="",C28=""),"",C28-B28)</f>
        <v/>
      </c>
      <c r="E28" s="33"/>
      <c r="F28" s="33"/>
      <c r="G28" s="34" t="str">
        <f aca="false">IF(OR(E28="",F28=""),"",F28-E28)</f>
        <v/>
      </c>
      <c r="H28" s="35" t="str">
        <f aca="false">IF(OR(E28="",E28=0),"",G28/E28)</f>
        <v/>
      </c>
      <c r="I28" s="42" t="str">
        <f aca="false">IF(D28="","",IF(D28&gt;365,"LT","ST"))</f>
        <v/>
      </c>
      <c r="J28" s="36" t="str">
        <f aca="false">IF(C28="","",YEAR(C28))</f>
        <v/>
      </c>
      <c r="K28" s="30"/>
      <c r="L28" s="30"/>
    </row>
    <row r="29" customFormat="false" ht="15" hidden="false" customHeight="true" outlineLevel="0" collapsed="false">
      <c r="A29" s="30"/>
      <c r="B29" s="31"/>
      <c r="C29" s="31"/>
      <c r="D29" s="36" t="str">
        <f aca="false">IF(OR(B29="",C29=""),"",C29-B29)</f>
        <v/>
      </c>
      <c r="E29" s="33"/>
      <c r="F29" s="33"/>
      <c r="G29" s="34" t="str">
        <f aca="false">IF(OR(E29="",F29=""),"",F29-E29)</f>
        <v/>
      </c>
      <c r="H29" s="35" t="str">
        <f aca="false">IF(OR(E29="",E29=0),"",G29/E29)</f>
        <v/>
      </c>
      <c r="I29" s="42" t="str">
        <f aca="false">IF(D29="","",IF(D29&gt;365,"LT","ST"))</f>
        <v/>
      </c>
      <c r="J29" s="36" t="str">
        <f aca="false">IF(C29="","",YEAR(C29))</f>
        <v/>
      </c>
      <c r="K29" s="30"/>
      <c r="L29" s="30"/>
    </row>
    <row r="30" customFormat="false" ht="15" hidden="false" customHeight="true" outlineLevel="0" collapsed="false">
      <c r="A30" s="30"/>
      <c r="B30" s="31"/>
      <c r="C30" s="31"/>
      <c r="D30" s="36" t="str">
        <f aca="false">IF(OR(B30="",C30=""),"",C30-B30)</f>
        <v/>
      </c>
      <c r="E30" s="33"/>
      <c r="F30" s="33"/>
      <c r="G30" s="34" t="str">
        <f aca="false">IF(OR(E30="",F30=""),"",F30-E30)</f>
        <v/>
      </c>
      <c r="H30" s="35" t="str">
        <f aca="false">IF(OR(E30="",E30=0),"",G30/E30)</f>
        <v/>
      </c>
      <c r="I30" s="42" t="str">
        <f aca="false">IF(D30="","",IF(D30&gt;365,"LT","ST"))</f>
        <v/>
      </c>
      <c r="J30" s="36" t="str">
        <f aca="false">IF(C30="","",YEAR(C30))</f>
        <v/>
      </c>
      <c r="K30" s="30"/>
      <c r="L30" s="30"/>
    </row>
    <row r="31" customFormat="false" ht="15" hidden="false" customHeight="true" outlineLevel="0" collapsed="false">
      <c r="A31" s="30"/>
      <c r="B31" s="31"/>
      <c r="C31" s="31"/>
      <c r="D31" s="36" t="str">
        <f aca="false">IF(OR(B31="",C31=""),"",C31-B31)</f>
        <v/>
      </c>
      <c r="E31" s="33"/>
      <c r="F31" s="33"/>
      <c r="G31" s="34" t="str">
        <f aca="false">IF(OR(E31="",F31=""),"",F31-E31)</f>
        <v/>
      </c>
      <c r="H31" s="35" t="str">
        <f aca="false">IF(OR(E31="",E31=0),"",G31/E31)</f>
        <v/>
      </c>
      <c r="I31" s="42" t="str">
        <f aca="false">IF(D31="","",IF(D31&gt;365,"LT","ST"))</f>
        <v/>
      </c>
      <c r="J31" s="36" t="str">
        <f aca="false">IF(C31="","",YEAR(C31))</f>
        <v/>
      </c>
      <c r="K31" s="30"/>
      <c r="L31" s="30"/>
    </row>
    <row r="32" customFormat="false" ht="15" hidden="false" customHeight="true" outlineLevel="0" collapsed="false">
      <c r="A32" s="30"/>
      <c r="B32" s="31"/>
      <c r="C32" s="31"/>
      <c r="D32" s="36" t="str">
        <f aca="false">IF(OR(B32="",C32=""),"",C32-B32)</f>
        <v/>
      </c>
      <c r="E32" s="33"/>
      <c r="F32" s="33"/>
      <c r="G32" s="34" t="str">
        <f aca="false">IF(OR(E32="",F32=""),"",F32-E32)</f>
        <v/>
      </c>
      <c r="H32" s="35" t="str">
        <f aca="false">IF(OR(E32="",E32=0),"",G32/E32)</f>
        <v/>
      </c>
      <c r="I32" s="42" t="str">
        <f aca="false">IF(D32="","",IF(D32&gt;365,"LT","ST"))</f>
        <v/>
      </c>
      <c r="J32" s="36" t="str">
        <f aca="false">IF(C32="","",YEAR(C32))</f>
        <v/>
      </c>
      <c r="K32" s="30"/>
      <c r="L32" s="30"/>
    </row>
    <row r="33" customFormat="false" ht="15" hidden="false" customHeight="true" outlineLevel="0" collapsed="false">
      <c r="A33" s="30"/>
      <c r="B33" s="31"/>
      <c r="C33" s="31"/>
      <c r="D33" s="36" t="str">
        <f aca="false">IF(OR(B33="",C33=""),"",C33-B33)</f>
        <v/>
      </c>
      <c r="E33" s="33"/>
      <c r="F33" s="33"/>
      <c r="G33" s="34" t="str">
        <f aca="false">IF(OR(E33="",F33=""),"",F33-E33)</f>
        <v/>
      </c>
      <c r="H33" s="35" t="str">
        <f aca="false">IF(OR(E33="",E33=0),"",G33/E33)</f>
        <v/>
      </c>
      <c r="I33" s="42" t="str">
        <f aca="false">IF(D33="","",IF(D33&gt;365,"LT","ST"))</f>
        <v/>
      </c>
      <c r="J33" s="36" t="str">
        <f aca="false">IF(C33="","",YEAR(C33))</f>
        <v/>
      </c>
      <c r="K33" s="30"/>
      <c r="L33" s="30"/>
    </row>
    <row r="34" customFormat="false" ht="15" hidden="false" customHeight="true" outlineLevel="0" collapsed="false">
      <c r="A34" s="30"/>
      <c r="B34" s="31"/>
      <c r="C34" s="31"/>
      <c r="D34" s="36" t="str">
        <f aca="false">IF(OR(B34="",C34=""),"",C34-B34)</f>
        <v/>
      </c>
      <c r="E34" s="33"/>
      <c r="F34" s="33"/>
      <c r="G34" s="34" t="str">
        <f aca="false">IF(OR(E34="",F34=""),"",F34-E34)</f>
        <v/>
      </c>
      <c r="H34" s="35" t="str">
        <f aca="false">IF(OR(E34="",E34=0),"",G34/E34)</f>
        <v/>
      </c>
      <c r="I34" s="42" t="str">
        <f aca="false">IF(D34="","",IF(D34&gt;365,"LT","ST"))</f>
        <v/>
      </c>
      <c r="J34" s="36" t="str">
        <f aca="false">IF(C34="","",YEAR(C34))</f>
        <v/>
      </c>
      <c r="K34" s="30"/>
      <c r="L34" s="30"/>
    </row>
    <row r="35" customFormat="false" ht="15" hidden="false" customHeight="true" outlineLevel="0" collapsed="false">
      <c r="A35" s="30"/>
      <c r="B35" s="31"/>
      <c r="C35" s="31"/>
      <c r="D35" s="36" t="str">
        <f aca="false">IF(OR(B35="",C35=""),"",C35-B35)</f>
        <v/>
      </c>
      <c r="E35" s="33"/>
      <c r="F35" s="33"/>
      <c r="G35" s="34" t="str">
        <f aca="false">IF(OR(E35="",F35=""),"",F35-E35)</f>
        <v/>
      </c>
      <c r="H35" s="35" t="str">
        <f aca="false">IF(OR(E35="",E35=0),"",G35/E35)</f>
        <v/>
      </c>
      <c r="I35" s="42" t="str">
        <f aca="false">IF(D35="","",IF(D35&gt;365,"LT","ST"))</f>
        <v/>
      </c>
      <c r="J35" s="36" t="str">
        <f aca="false">IF(C35="","",YEAR(C35))</f>
        <v/>
      </c>
      <c r="K35" s="30"/>
      <c r="L35" s="30"/>
    </row>
    <row r="36" customFormat="false" ht="15" hidden="false" customHeight="true" outlineLevel="0" collapsed="false">
      <c r="A36" s="30"/>
      <c r="B36" s="31"/>
      <c r="C36" s="31"/>
      <c r="D36" s="36" t="str">
        <f aca="false">IF(OR(B36="",C36=""),"",C36-B36)</f>
        <v/>
      </c>
      <c r="E36" s="33"/>
      <c r="F36" s="33"/>
      <c r="G36" s="34" t="str">
        <f aca="false">IF(OR(E36="",F36=""),"",F36-E36)</f>
        <v/>
      </c>
      <c r="H36" s="35" t="str">
        <f aca="false">IF(OR(E36="",E36=0),"",G36/E36)</f>
        <v/>
      </c>
      <c r="I36" s="42" t="str">
        <f aca="false">IF(D36="","",IF(D36&gt;365,"LT","ST"))</f>
        <v/>
      </c>
      <c r="J36" s="36" t="str">
        <f aca="false">IF(C36="","",YEAR(C36))</f>
        <v/>
      </c>
      <c r="K36" s="30"/>
      <c r="L36" s="30"/>
    </row>
    <row r="37" customFormat="false" ht="15" hidden="false" customHeight="true" outlineLevel="0" collapsed="false">
      <c r="A37" s="30"/>
      <c r="B37" s="31"/>
      <c r="C37" s="31"/>
      <c r="D37" s="36" t="str">
        <f aca="false">IF(OR(B37="",C37=""),"",C37-B37)</f>
        <v/>
      </c>
      <c r="E37" s="33"/>
      <c r="F37" s="33"/>
      <c r="G37" s="34" t="str">
        <f aca="false">IF(OR(E37="",F37=""),"",F37-E37)</f>
        <v/>
      </c>
      <c r="H37" s="35" t="str">
        <f aca="false">IF(OR(E37="",E37=0),"",G37/E37)</f>
        <v/>
      </c>
      <c r="I37" s="42" t="str">
        <f aca="false">IF(D37="","",IF(D37&gt;365,"LT","ST"))</f>
        <v/>
      </c>
      <c r="J37" s="36" t="str">
        <f aca="false">IF(C37="","",YEAR(C37))</f>
        <v/>
      </c>
      <c r="K37" s="30"/>
      <c r="L37" s="30"/>
    </row>
    <row r="38" customFormat="false" ht="15" hidden="false" customHeight="true" outlineLevel="0" collapsed="false">
      <c r="A38" s="30"/>
      <c r="B38" s="31"/>
      <c r="C38" s="31"/>
      <c r="D38" s="36" t="str">
        <f aca="false">IF(OR(B38="",C38=""),"",C38-B38)</f>
        <v/>
      </c>
      <c r="E38" s="33"/>
      <c r="F38" s="33"/>
      <c r="G38" s="34" t="str">
        <f aca="false">IF(OR(E38="",F38=""),"",F38-E38)</f>
        <v/>
      </c>
      <c r="H38" s="35" t="str">
        <f aca="false">IF(OR(E38="",E38=0),"",G38/E38)</f>
        <v/>
      </c>
      <c r="I38" s="42" t="str">
        <f aca="false">IF(D38="","",IF(D38&gt;365,"LT","ST"))</f>
        <v/>
      </c>
      <c r="J38" s="36" t="str">
        <f aca="false">IF(C38="","",YEAR(C38))</f>
        <v/>
      </c>
      <c r="K38" s="30"/>
      <c r="L38" s="30"/>
    </row>
    <row r="39" customFormat="false" ht="15" hidden="false" customHeight="true" outlineLevel="0" collapsed="false">
      <c r="A39" s="30"/>
      <c r="B39" s="31"/>
      <c r="C39" s="31"/>
      <c r="D39" s="36" t="str">
        <f aca="false">IF(OR(B39="",C39=""),"",C39-B39)</f>
        <v/>
      </c>
      <c r="E39" s="33"/>
      <c r="F39" s="33"/>
      <c r="G39" s="34" t="str">
        <f aca="false">IF(OR(E39="",F39=""),"",F39-E39)</f>
        <v/>
      </c>
      <c r="H39" s="35" t="str">
        <f aca="false">IF(OR(E39="",E39=0),"",G39/E39)</f>
        <v/>
      </c>
      <c r="I39" s="42" t="str">
        <f aca="false">IF(D39="","",IF(D39&gt;365,"LT","ST"))</f>
        <v/>
      </c>
      <c r="J39" s="36" t="str">
        <f aca="false">IF(C39="","",YEAR(C39))</f>
        <v/>
      </c>
      <c r="K39" s="30"/>
      <c r="L39" s="30"/>
    </row>
    <row r="40" customFormat="false" ht="15" hidden="false" customHeight="true" outlineLevel="0" collapsed="false">
      <c r="A40" s="30"/>
      <c r="B40" s="31"/>
      <c r="C40" s="31"/>
      <c r="D40" s="36" t="str">
        <f aca="false">IF(OR(B40="",C40=""),"",C40-B40)</f>
        <v/>
      </c>
      <c r="E40" s="33"/>
      <c r="F40" s="33"/>
      <c r="G40" s="34" t="str">
        <f aca="false">IF(OR(E40="",F40=""),"",F40-E40)</f>
        <v/>
      </c>
      <c r="H40" s="35" t="str">
        <f aca="false">IF(OR(E40="",E40=0),"",G40/E40)</f>
        <v/>
      </c>
      <c r="I40" s="42" t="str">
        <f aca="false">IF(D40="","",IF(D40&gt;365,"LT","ST"))</f>
        <v/>
      </c>
      <c r="J40" s="36" t="str">
        <f aca="false">IF(C40="","",YEAR(C40))</f>
        <v/>
      </c>
      <c r="K40" s="30"/>
      <c r="L40" s="30"/>
    </row>
    <row r="41" customFormat="false" ht="15" hidden="false" customHeight="true" outlineLevel="0" collapsed="false">
      <c r="A41" s="30"/>
      <c r="B41" s="31"/>
      <c r="C41" s="31"/>
      <c r="D41" s="36" t="str">
        <f aca="false">IF(OR(B41="",C41=""),"",C41-B41)</f>
        <v/>
      </c>
      <c r="E41" s="33"/>
      <c r="F41" s="33"/>
      <c r="G41" s="34" t="str">
        <f aca="false">IF(OR(E41="",F41=""),"",F41-E41)</f>
        <v/>
      </c>
      <c r="H41" s="35" t="str">
        <f aca="false">IF(OR(E41="",E41=0),"",G41/E41)</f>
        <v/>
      </c>
      <c r="I41" s="42" t="str">
        <f aca="false">IF(D41="","",IF(D41&gt;365,"LT","ST"))</f>
        <v/>
      </c>
      <c r="J41" s="36" t="str">
        <f aca="false">IF(C41="","",YEAR(C41))</f>
        <v/>
      </c>
      <c r="K41" s="30"/>
      <c r="L41" s="30"/>
    </row>
    <row r="42" customFormat="false" ht="15" hidden="false" customHeight="true" outlineLevel="0" collapsed="false">
      <c r="A42" s="30"/>
      <c r="B42" s="31"/>
      <c r="C42" s="31"/>
      <c r="D42" s="36" t="str">
        <f aca="false">IF(OR(B42="",C42=""),"",C42-B42)</f>
        <v/>
      </c>
      <c r="E42" s="33"/>
      <c r="F42" s="33"/>
      <c r="G42" s="34" t="str">
        <f aca="false">IF(OR(E42="",F42=""),"",F42-E42)</f>
        <v/>
      </c>
      <c r="H42" s="35" t="str">
        <f aca="false">IF(OR(E42="",E42=0),"",G42/E42)</f>
        <v/>
      </c>
      <c r="I42" s="42" t="str">
        <f aca="false">IF(D42="","",IF(D42&gt;365,"LT","ST"))</f>
        <v/>
      </c>
      <c r="J42" s="36" t="str">
        <f aca="false">IF(C42="","",YEAR(C42))</f>
        <v/>
      </c>
      <c r="K42" s="30"/>
      <c r="L42" s="30"/>
    </row>
    <row r="43" customFormat="false" ht="15" hidden="false" customHeight="true" outlineLevel="0" collapsed="false">
      <c r="A43" s="30"/>
      <c r="B43" s="31"/>
      <c r="C43" s="31"/>
      <c r="D43" s="36" t="str">
        <f aca="false">IF(OR(B43="",C43=""),"",C43-B43)</f>
        <v/>
      </c>
      <c r="E43" s="33"/>
      <c r="F43" s="33"/>
      <c r="G43" s="34" t="str">
        <f aca="false">IF(OR(E43="",F43=""),"",F43-E43)</f>
        <v/>
      </c>
      <c r="H43" s="35" t="str">
        <f aca="false">IF(OR(E43="",E43=0),"",G43/E43)</f>
        <v/>
      </c>
      <c r="I43" s="42" t="str">
        <f aca="false">IF(D43="","",IF(D43&gt;365,"LT","ST"))</f>
        <v/>
      </c>
      <c r="J43" s="36" t="str">
        <f aca="false">IF(C43="","",YEAR(C43))</f>
        <v/>
      </c>
      <c r="K43" s="30"/>
      <c r="L43" s="30"/>
    </row>
    <row r="44" customFormat="false" ht="15" hidden="false" customHeight="true" outlineLevel="0" collapsed="false">
      <c r="A44" s="30"/>
      <c r="B44" s="31"/>
      <c r="C44" s="31"/>
      <c r="D44" s="36" t="str">
        <f aca="false">IF(OR(B44="",C44=""),"",C44-B44)</f>
        <v/>
      </c>
      <c r="E44" s="33"/>
      <c r="F44" s="33"/>
      <c r="G44" s="34" t="str">
        <f aca="false">IF(OR(E44="",F44=""),"",F44-E44)</f>
        <v/>
      </c>
      <c r="H44" s="35" t="str">
        <f aca="false">IF(OR(E44="",E44=0),"",G44/E44)</f>
        <v/>
      </c>
      <c r="I44" s="42" t="str">
        <f aca="false">IF(D44="","",IF(D44&gt;365,"LT","ST"))</f>
        <v/>
      </c>
      <c r="J44" s="36" t="str">
        <f aca="false">IF(C44="","",YEAR(C44))</f>
        <v/>
      </c>
      <c r="K44" s="30"/>
      <c r="L44" s="30"/>
    </row>
    <row r="45" customFormat="false" ht="15" hidden="false" customHeight="true" outlineLevel="0" collapsed="false">
      <c r="A45" s="30"/>
      <c r="B45" s="31"/>
      <c r="C45" s="31"/>
      <c r="D45" s="36" t="str">
        <f aca="false">IF(OR(B45="",C45=""),"",C45-B45)</f>
        <v/>
      </c>
      <c r="E45" s="33"/>
      <c r="F45" s="33"/>
      <c r="G45" s="34" t="str">
        <f aca="false">IF(OR(E45="",F45=""),"",F45-E45)</f>
        <v/>
      </c>
      <c r="H45" s="35" t="str">
        <f aca="false">IF(OR(E45="",E45=0),"",G45/E45)</f>
        <v/>
      </c>
      <c r="I45" s="42" t="str">
        <f aca="false">IF(D45="","",IF(D45&gt;365,"LT","ST"))</f>
        <v/>
      </c>
      <c r="J45" s="36" t="str">
        <f aca="false">IF(C45="","",YEAR(C45))</f>
        <v/>
      </c>
      <c r="K45" s="30"/>
      <c r="L45" s="30"/>
    </row>
    <row r="48" customFormat="false" ht="15" hidden="false" customHeight="true" outlineLevel="0" collapsed="false">
      <c r="A48" s="7" t="s">
        <v>107</v>
      </c>
      <c r="G48" s="38" t="n">
        <f aca="true">SUMIFS(G5:G45,J5:J45,YEAR(TODAY()),K5:K45,"N")</f>
        <v>1455.11</v>
      </c>
      <c r="H48" s="29" t="s">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6"/>
    <col collapsed="false" customWidth="true" hidden="false" outlineLevel="0" max="3" min="3" style="1" width="13"/>
    <col collapsed="false" customWidth="true" hidden="false" outlineLevel="0" max="4" min="4" style="1" width="12"/>
    <col collapsed="false" customWidth="true" hidden="false" outlineLevel="0" max="5" min="5" style="1" width="15"/>
    <col collapsed="false" customWidth="true" hidden="false" outlineLevel="0" max="6" min="6" style="1" width="14"/>
    <col collapsed="false" customWidth="true" hidden="false" outlineLevel="0" max="7" min="7" style="1" width="15"/>
    <col collapsed="false" customWidth="true" hidden="false" outlineLevel="0" max="8" min="8" style="1" width="22"/>
  </cols>
  <sheetData>
    <row r="1" customFormat="false" ht="17.25" hidden="false" customHeight="true" outlineLevel="0" collapsed="false">
      <c r="A1" s="14" t="s">
        <v>109</v>
      </c>
    </row>
    <row r="2" customFormat="false" ht="15" hidden="false" customHeight="true" outlineLevel="0" collapsed="false">
      <c r="A2" s="29" t="s">
        <v>110</v>
      </c>
    </row>
    <row r="4" customFormat="false" ht="23.25" hidden="false" customHeight="true" outlineLevel="0" collapsed="false">
      <c r="A4" s="18" t="s">
        <v>111</v>
      </c>
      <c r="B4" s="18" t="s">
        <v>112</v>
      </c>
      <c r="C4" s="18" t="s">
        <v>113</v>
      </c>
      <c r="D4" s="18" t="s">
        <v>114</v>
      </c>
      <c r="E4" s="18" t="s">
        <v>115</v>
      </c>
      <c r="F4" s="18" t="s">
        <v>116</v>
      </c>
      <c r="G4" s="18" t="s">
        <v>117</v>
      </c>
      <c r="H4" s="18" t="s">
        <v>118</v>
      </c>
    </row>
    <row r="5" customFormat="false" ht="15" hidden="false" customHeight="true" outlineLevel="0" collapsed="false">
      <c r="A5" s="43" t="n">
        <v>100000</v>
      </c>
      <c r="B5" s="44"/>
      <c r="C5" s="45" t="str">
        <f aca="false">IF(B5="","",B5*0.25)</f>
        <v/>
      </c>
      <c r="D5" s="31"/>
      <c r="E5" s="44"/>
      <c r="F5" s="30"/>
      <c r="G5" s="46" t="n">
        <f aca="false">SUM($E$5:E5)</f>
        <v>0</v>
      </c>
      <c r="H5" s="47" t="str">
        <f aca="false">IF(E5&lt;&gt;"","BANKED",IF(Positions!$E$29&gt;=A5,"HIT — BANK NOW","not yet"))</f>
        <v>not yet</v>
      </c>
    </row>
    <row r="6" customFormat="false" ht="15" hidden="false" customHeight="true" outlineLevel="0" collapsed="false">
      <c r="A6" s="43" t="n">
        <v>200000</v>
      </c>
      <c r="B6" s="44"/>
      <c r="C6" s="45" t="str">
        <f aca="false">IF(B6="","",B6*0.25)</f>
        <v/>
      </c>
      <c r="D6" s="31"/>
      <c r="E6" s="44"/>
      <c r="F6" s="30"/>
      <c r="G6" s="46" t="n">
        <f aca="false">SUM($E$5:E6)</f>
        <v>0</v>
      </c>
      <c r="H6" s="47" t="str">
        <f aca="false">IF(E6&lt;&gt;"","BANKED",IF(Positions!$E$29&gt;=A6,"HIT — BANK NOW","not yet"))</f>
        <v>not yet</v>
      </c>
    </row>
    <row r="7" customFormat="false" ht="15" hidden="false" customHeight="true" outlineLevel="0" collapsed="false">
      <c r="A7" s="43" t="n">
        <v>400000</v>
      </c>
      <c r="B7" s="44"/>
      <c r="C7" s="45" t="str">
        <f aca="false">IF(B7="","",B7*0.25)</f>
        <v/>
      </c>
      <c r="D7" s="31"/>
      <c r="E7" s="44"/>
      <c r="F7" s="30"/>
      <c r="G7" s="46" t="n">
        <f aca="false">SUM($E$5:E7)</f>
        <v>0</v>
      </c>
      <c r="H7" s="47" t="str">
        <f aca="false">IF(E7&lt;&gt;"","BANKED",IF(Positions!$E$29&gt;=A7,"HIT — BANK NOW","not yet"))</f>
        <v>not yet</v>
      </c>
    </row>
    <row r="8" customFormat="false" ht="15" hidden="false" customHeight="true" outlineLevel="0" collapsed="false">
      <c r="A8" s="43" t="n">
        <v>800000</v>
      </c>
      <c r="B8" s="44"/>
      <c r="C8" s="45" t="str">
        <f aca="false">IF(B8="","",B8*0.25)</f>
        <v/>
      </c>
      <c r="D8" s="31"/>
      <c r="E8" s="44"/>
      <c r="F8" s="30"/>
      <c r="G8" s="46" t="n">
        <f aca="false">SUM($E$5:E8)</f>
        <v>0</v>
      </c>
      <c r="H8" s="47" t="str">
        <f aca="false">IF(E8&lt;&gt;"","BANKED",IF(Positions!$E$29&gt;=A8,"HIT — BANK NOW","not yet"))</f>
        <v>not yet</v>
      </c>
    </row>
    <row r="9" customFormat="false" ht="15" hidden="false" customHeight="true" outlineLevel="0" collapsed="false">
      <c r="A9" s="43" t="n">
        <v>1000000</v>
      </c>
      <c r="B9" s="44"/>
      <c r="C9" s="45" t="str">
        <f aca="false">IF(B9="","",B9*0.25)</f>
        <v/>
      </c>
      <c r="D9" s="31"/>
      <c r="E9" s="44"/>
      <c r="F9" s="30"/>
      <c r="G9" s="46" t="n">
        <f aca="false">SUM($E$5:E9)</f>
        <v>0</v>
      </c>
      <c r="H9" s="47" t="str">
        <f aca="false">IF(E9&lt;&gt;"","BANKED",IF(Positions!$E$29&gt;=A9,"HIT — BANK NOW","not yet"))</f>
        <v>not yet</v>
      </c>
    </row>
    <row r="11" customFormat="false" ht="15" hidden="false" customHeight="true" outlineLevel="0" collapsed="false">
      <c r="A11" s="29" t="s">
        <v>119</v>
      </c>
    </row>
    <row r="13" customFormat="false" ht="15" hidden="false" customHeight="true" outlineLevel="0" collapsed="false">
      <c r="A13" s="7" t="s">
        <v>120</v>
      </c>
      <c r="E13" s="48" t="n">
        <f aca="false">SUM(E5:E9)</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2"/>
    <col collapsed="false" customWidth="true" hidden="false" outlineLevel="0" max="3" min="3" style="1" width="18"/>
    <col collapsed="false" customWidth="true" hidden="false" outlineLevel="0" max="4" min="4" style="1" width="17"/>
    <col collapsed="false" customWidth="true" hidden="false" outlineLevel="0" max="5" min="5" style="1" width="16"/>
    <col collapsed="false" customWidth="true" hidden="false" outlineLevel="0" max="6" min="6" style="1" width="14"/>
    <col collapsed="false" customWidth="true" hidden="false" outlineLevel="0" max="7" min="7" style="1" width="12"/>
  </cols>
  <sheetData>
    <row r="1" customFormat="false" ht="17.25" hidden="false" customHeight="true" outlineLevel="0" collapsed="false">
      <c r="A1" s="14" t="s">
        <v>121</v>
      </c>
    </row>
    <row r="2" customFormat="false" ht="15" hidden="false" customHeight="true" outlineLevel="0" collapsed="false">
      <c r="A2" s="29" t="s">
        <v>122</v>
      </c>
    </row>
    <row r="4" customFormat="false" ht="23.25" hidden="false" customHeight="true" outlineLevel="0" collapsed="false">
      <c r="A4" s="18" t="s">
        <v>123</v>
      </c>
      <c r="B4" s="18" t="s">
        <v>124</v>
      </c>
      <c r="C4" s="18" t="s">
        <v>125</v>
      </c>
      <c r="D4" s="18" t="s">
        <v>126</v>
      </c>
      <c r="E4" s="18" t="s">
        <v>127</v>
      </c>
      <c r="F4" s="18" t="s">
        <v>128</v>
      </c>
      <c r="G4" s="18" t="s">
        <v>129</v>
      </c>
    </row>
    <row r="5" customFormat="false" ht="15" hidden="false" customHeight="true" outlineLevel="0" collapsed="false">
      <c r="A5" s="49" t="s">
        <v>130</v>
      </c>
      <c r="B5" s="31"/>
      <c r="C5" s="44"/>
      <c r="D5" s="45" t="str">
        <f aca="false">IF(C5="","",MAX(0,C5*0.3))</f>
        <v/>
      </c>
      <c r="E5" s="45" t="n">
        <v>0</v>
      </c>
      <c r="F5" s="45" t="str">
        <f aca="false">IF(D5="","",MAX(0,D5-E5))</f>
        <v/>
      </c>
      <c r="G5" s="30"/>
    </row>
    <row r="6" customFormat="false" ht="15" hidden="false" customHeight="true" outlineLevel="0" collapsed="false">
      <c r="A6" s="49" t="s">
        <v>131</v>
      </c>
      <c r="B6" s="31"/>
      <c r="C6" s="44"/>
      <c r="D6" s="45" t="str">
        <f aca="false">IF(C6="","",MAX(0,C6*0.3))</f>
        <v/>
      </c>
      <c r="E6" s="45" t="n">
        <f aca="false">IF(ROW()=5,0,SUMIFS($F$5:F5,$G$5:G5,"Y"))</f>
        <v>0</v>
      </c>
      <c r="F6" s="45" t="str">
        <f aca="false">IF(D6="","",MAX(0,D6-E6))</f>
        <v/>
      </c>
      <c r="G6" s="30"/>
    </row>
    <row r="7" customFormat="false" ht="15" hidden="false" customHeight="true" outlineLevel="0" collapsed="false">
      <c r="A7" s="49" t="s">
        <v>132</v>
      </c>
      <c r="B7" s="31"/>
      <c r="C7" s="44"/>
      <c r="D7" s="45" t="str">
        <f aca="false">IF(C7="","",MAX(0,C7*0.3))</f>
        <v/>
      </c>
      <c r="E7" s="45" t="n">
        <f aca="false">IF(ROW()=5,0,SUMIFS($F$5:F6,$G$5:G6,"Y"))</f>
        <v>0</v>
      </c>
      <c r="F7" s="45" t="str">
        <f aca="false">IF(D7="","",MAX(0,D7-E7))</f>
        <v/>
      </c>
      <c r="G7" s="30"/>
    </row>
    <row r="8" customFormat="false" ht="15" hidden="false" customHeight="true" outlineLevel="0" collapsed="false">
      <c r="A8" s="49" t="s">
        <v>133</v>
      </c>
      <c r="B8" s="31"/>
      <c r="C8" s="44"/>
      <c r="D8" s="45" t="str">
        <f aca="false">IF(C8="","",MAX(0,C8*0.3))</f>
        <v/>
      </c>
      <c r="E8" s="45" t="n">
        <f aca="false">IF(ROW()=5,0,SUMIFS($F$5:F7,$G$5:G7,"Y"))</f>
        <v>0</v>
      </c>
      <c r="F8" s="45" t="str">
        <f aca="false">IF(D8="","",MAX(0,D8-E8))</f>
        <v/>
      </c>
      <c r="G8" s="30"/>
    </row>
    <row r="9" customFormat="false" ht="15" hidden="false" customHeight="true" outlineLevel="0" collapsed="false">
      <c r="A9" s="49" t="s">
        <v>134</v>
      </c>
      <c r="B9" s="31"/>
      <c r="C9" s="44"/>
      <c r="D9" s="45" t="str">
        <f aca="false">IF(C9="","",MAX(0,C9*0.3))</f>
        <v/>
      </c>
      <c r="E9" s="45" t="n">
        <f aca="false">IF(ROW()=5,0,SUMIFS($F$5:F8,$G$5:G8,"Y"))</f>
        <v>0</v>
      </c>
      <c r="F9" s="45" t="str">
        <f aca="false">IF(D9="","",MAX(0,D9-E9))</f>
        <v/>
      </c>
      <c r="G9" s="30"/>
    </row>
    <row r="10" customFormat="false" ht="15" hidden="false" customHeight="true" outlineLevel="0" collapsed="false">
      <c r="A10" s="49" t="s">
        <v>135</v>
      </c>
      <c r="B10" s="31"/>
      <c r="C10" s="44"/>
      <c r="D10" s="45" t="str">
        <f aca="false">IF(C10="","",MAX(0,C10*0.3))</f>
        <v/>
      </c>
      <c r="E10" s="45" t="n">
        <f aca="false">IF(ROW()=5,0,SUMIFS($F$5:F9,$G$5:G9,"Y"))</f>
        <v>0</v>
      </c>
      <c r="F10" s="45" t="str">
        <f aca="false">IF(D10="","",MAX(0,D10-E10))</f>
        <v/>
      </c>
      <c r="G10" s="30"/>
    </row>
    <row r="12" customFormat="false" ht="15" hidden="false" customHeight="true" outlineLevel="0" collapsed="false">
      <c r="A12" s="29"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2"/>
    <col collapsed="false" customWidth="true" hidden="false" outlineLevel="0" max="4" min="3" style="1" width="16"/>
  </cols>
  <sheetData>
    <row r="1" customFormat="false" ht="17.25" hidden="false" customHeight="true" outlineLevel="0" collapsed="false">
      <c r="A1" s="14" t="s">
        <v>137</v>
      </c>
    </row>
    <row r="2" customFormat="false" ht="15" hidden="false" customHeight="true" outlineLevel="0" collapsed="false">
      <c r="A2" s="29" t="s">
        <v>138</v>
      </c>
    </row>
    <row r="4" customFormat="false" ht="15" hidden="false" customHeight="true" outlineLevel="0" collapsed="false">
      <c r="A4" s="7" t="s">
        <v>139</v>
      </c>
    </row>
    <row r="5" customFormat="false" ht="23.25" hidden="false" customHeight="true" outlineLevel="0" collapsed="false">
      <c r="A5" s="18" t="s">
        <v>140</v>
      </c>
      <c r="B5" s="18" t="s">
        <v>141</v>
      </c>
      <c r="C5" s="18" t="s">
        <v>142</v>
      </c>
      <c r="D5" s="18" t="s">
        <v>143</v>
      </c>
    </row>
    <row r="6" customFormat="false" ht="15" hidden="false" customHeight="true" outlineLevel="0" collapsed="false">
      <c r="A6" s="31" t="n">
        <v>46244</v>
      </c>
      <c r="B6" s="44" t="n">
        <v>6000</v>
      </c>
      <c r="C6" s="33" t="n">
        <v>620</v>
      </c>
      <c r="D6" s="50" t="n">
        <f aca="false">IF(OR(B6="",C6="",C6=0),"",B6/C6)</f>
        <v>9.67741935483871</v>
      </c>
      <c r="E6" s="51" t="s">
        <v>144</v>
      </c>
    </row>
    <row r="7" customFormat="false" ht="15" hidden="false" customHeight="true" outlineLevel="0" collapsed="false">
      <c r="A7" s="31"/>
      <c r="B7" s="44"/>
      <c r="C7" s="33"/>
      <c r="D7" s="50" t="str">
        <f aca="false">IF(OR(B7="",C7="",C7=0),"",B7/C7)</f>
        <v/>
      </c>
    </row>
    <row r="8" customFormat="false" ht="15" hidden="false" customHeight="true" outlineLevel="0" collapsed="false">
      <c r="A8" s="31"/>
      <c r="B8" s="44"/>
      <c r="C8" s="33"/>
      <c r="D8" s="50" t="str">
        <f aca="false">IF(OR(B8="",C8="",C8=0),"",B8/C8)</f>
        <v/>
      </c>
    </row>
    <row r="9" customFormat="false" ht="15" hidden="false" customHeight="true" outlineLevel="0" collapsed="false">
      <c r="A9" s="31"/>
      <c r="B9" s="44"/>
      <c r="C9" s="33"/>
      <c r="D9" s="50" t="str">
        <f aca="false">IF(OR(B9="",C9="",C9=0),"",B9/C9)</f>
        <v/>
      </c>
    </row>
    <row r="10" customFormat="false" ht="15" hidden="false" customHeight="true" outlineLevel="0" collapsed="false">
      <c r="A10" s="31"/>
      <c r="B10" s="44"/>
      <c r="C10" s="33"/>
      <c r="D10" s="50" t="str">
        <f aca="false">IF(OR(B10="",C10="",C10=0),"",B10/C10)</f>
        <v/>
      </c>
    </row>
    <row r="11" customFormat="false" ht="15" hidden="false" customHeight="true" outlineLevel="0" collapsed="false">
      <c r="A11" s="31"/>
      <c r="B11" s="44"/>
      <c r="C11" s="33"/>
      <c r="D11" s="50" t="str">
        <f aca="false">IF(OR(B11="",C11="",C11=0),"",B11/C11)</f>
        <v/>
      </c>
    </row>
    <row r="12" customFormat="false" ht="15" hidden="false" customHeight="true" outlineLevel="0" collapsed="false">
      <c r="A12" s="31"/>
      <c r="B12" s="44"/>
      <c r="C12" s="33"/>
      <c r="D12" s="50" t="str">
        <f aca="false">IF(OR(B12="",C12="",C12=0),"",B12/C12)</f>
        <v/>
      </c>
    </row>
    <row r="13" customFormat="false" ht="15" hidden="false" customHeight="true" outlineLevel="0" collapsed="false">
      <c r="A13" s="31"/>
      <c r="B13" s="44"/>
      <c r="C13" s="33"/>
      <c r="D13" s="50" t="str">
        <f aca="false">IF(OR(B13="",C13="",C13=0),"",B13/C13)</f>
        <v/>
      </c>
    </row>
    <row r="14" customFormat="false" ht="15" hidden="false" customHeight="true" outlineLevel="0" collapsed="false">
      <c r="A14" s="31"/>
      <c r="B14" s="44"/>
      <c r="C14" s="33"/>
      <c r="D14" s="50" t="str">
        <f aca="false">IF(OR(B14="",C14="",C14=0),"",B14/C14)</f>
        <v/>
      </c>
    </row>
    <row r="15" customFormat="false" ht="15" hidden="false" customHeight="true" outlineLevel="0" collapsed="false">
      <c r="A15" s="31"/>
      <c r="B15" s="44"/>
      <c r="C15" s="33"/>
      <c r="D15" s="50" t="str">
        <f aca="false">IF(OR(B15="",C15="",C15=0),"",B15/C15)</f>
        <v/>
      </c>
    </row>
    <row r="16" customFormat="false" ht="15" hidden="false" customHeight="true" outlineLevel="0" collapsed="false">
      <c r="A16" s="31"/>
      <c r="B16" s="44"/>
      <c r="C16" s="33"/>
      <c r="D16" s="50" t="str">
        <f aca="false">IF(OR(B16="",C16="",C16=0),"",B16/C16)</f>
        <v/>
      </c>
    </row>
    <row r="17" customFormat="false" ht="15" hidden="false" customHeight="true" outlineLevel="0" collapsed="false">
      <c r="A17" s="31"/>
      <c r="B17" s="44"/>
      <c r="C17" s="33"/>
      <c r="D17" s="50" t="str">
        <f aca="false">IF(OR(B17="",C17="",C17=0),"",B17/C17)</f>
        <v/>
      </c>
    </row>
    <row r="18" customFormat="false" ht="15" hidden="false" customHeight="true" outlineLevel="0" collapsed="false">
      <c r="A18" s="31"/>
      <c r="B18" s="44"/>
      <c r="C18" s="33"/>
      <c r="D18" s="50" t="str">
        <f aca="false">IF(OR(B18="",C18="",C18=0),"",B18/C18)</f>
        <v/>
      </c>
    </row>
    <row r="21" customFormat="false" ht="15" hidden="false" customHeight="true" outlineLevel="0" collapsed="false">
      <c r="A21" s="7" t="s">
        <v>145</v>
      </c>
    </row>
    <row r="22" customFormat="false" ht="15" hidden="false" customHeight="true" outlineLevel="0" collapsed="false">
      <c r="A22" s="1" t="s">
        <v>146</v>
      </c>
      <c r="B22" s="52" t="n">
        <v>620</v>
      </c>
    </row>
    <row r="23" customFormat="false" ht="15" hidden="false" customHeight="true" outlineLevel="0" collapsed="false">
      <c r="A23" s="1" t="s">
        <v>147</v>
      </c>
      <c r="B23" s="53" t="n">
        <f aca="false">SUM(B6:B18)</f>
        <v>6000</v>
      </c>
    </row>
    <row r="24" customFormat="false" ht="15" hidden="false" customHeight="true" outlineLevel="0" collapsed="false">
      <c r="A24" s="1" t="s">
        <v>148</v>
      </c>
      <c r="B24" s="53" t="n">
        <f aca="false">SUM(D6:D18)*B22</f>
        <v>6000</v>
      </c>
    </row>
    <row r="25" customFormat="false" ht="15" hidden="false" customHeight="true" outlineLevel="0" collapsed="false">
      <c r="A25" s="1" t="s">
        <v>149</v>
      </c>
      <c r="B25" s="5" t="n">
        <f aca="false">Positions!E29+Milestones!E13+SUMIFS('Tax Reserve'!F5:F10,'Tax Reserve'!G5:G10,"Y")</f>
        <v>6000.004</v>
      </c>
    </row>
    <row r="26" customFormat="false" ht="15" hidden="false" customHeight="true" outlineLevel="0" collapsed="false">
      <c r="A26" s="7" t="s">
        <v>150</v>
      </c>
      <c r="B26" s="54" t="n">
        <f aca="false">B25-B24</f>
        <v>0.00399999999990541</v>
      </c>
    </row>
    <row r="27" customFormat="false" ht="15" hidden="false" customHeight="true" outlineLevel="0" collapsed="false">
      <c r="A27" s="1" t="s">
        <v>151</v>
      </c>
      <c r="B27" s="55" t="n">
        <f aca="false">IF(B24=0,"",B26/B24)</f>
        <v>6.66666666650902E-007</v>
      </c>
    </row>
    <row r="29" customFormat="false" ht="39.75" hidden="false" customHeight="true" outlineLevel="0" collapsed="false">
      <c r="A29" s="28" t="s">
        <v>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12"/>
    <col collapsed="false" customWidth="true" hidden="false" outlineLevel="0" max="5" min="4" style="1" width="10"/>
    <col collapsed="false" customWidth="true" hidden="false" outlineLevel="0" max="7" min="6" style="1" width="11"/>
    <col collapsed="false" customWidth="true" hidden="false" outlineLevel="0" max="9" min="8" style="1" width="12"/>
    <col collapsed="false" customWidth="true" hidden="false" outlineLevel="0" max="11" min="10" style="1" width="11"/>
    <col collapsed="false" customWidth="true" hidden="false" outlineLevel="0" max="13" min="12" style="1" width="13"/>
    <col collapsed="false" customWidth="true" hidden="false" outlineLevel="0" max="14" min="14" style="1" width="11"/>
    <col collapsed="false" customWidth="true" hidden="false" outlineLevel="0" max="15" min="15" style="1" width="26"/>
  </cols>
  <sheetData>
    <row r="1" customFormat="false" ht="17.25" hidden="false" customHeight="true" outlineLevel="0" collapsed="false">
      <c r="A1" s="14" t="s">
        <v>153</v>
      </c>
    </row>
    <row r="2" customFormat="false" ht="15" hidden="false" customHeight="true" outlineLevel="0" collapsed="false">
      <c r="A2" s="29" t="s">
        <v>154</v>
      </c>
    </row>
    <row r="4" customFormat="false" ht="23.25" hidden="false" customHeight="true" outlineLevel="0" collapsed="false">
      <c r="A4" s="18" t="s">
        <v>53</v>
      </c>
      <c r="B4" s="18" t="s">
        <v>155</v>
      </c>
      <c r="C4" s="18" t="s">
        <v>156</v>
      </c>
      <c r="D4" s="18" t="s">
        <v>78</v>
      </c>
      <c r="E4" s="18" t="s">
        <v>79</v>
      </c>
      <c r="F4" s="18" t="s">
        <v>80</v>
      </c>
      <c r="G4" s="18" t="s">
        <v>81</v>
      </c>
      <c r="H4" s="18" t="s">
        <v>82</v>
      </c>
      <c r="I4" s="18" t="s">
        <v>83</v>
      </c>
      <c r="J4" s="18" t="s">
        <v>84</v>
      </c>
      <c r="K4" s="18" t="s">
        <v>77</v>
      </c>
      <c r="L4" s="18" t="s">
        <v>86</v>
      </c>
      <c r="M4" s="18" t="s">
        <v>157</v>
      </c>
      <c r="N4" s="18" t="s">
        <v>158</v>
      </c>
      <c r="O4" s="18" t="s">
        <v>55</v>
      </c>
    </row>
    <row r="5" customFormat="false" ht="15" hidden="false" customHeight="true" outlineLevel="0" collapsed="false">
      <c r="A5" s="30" t="s">
        <v>104</v>
      </c>
      <c r="B5" s="30" t="s">
        <v>159</v>
      </c>
      <c r="C5" s="30" t="s">
        <v>160</v>
      </c>
      <c r="D5" s="32" t="n">
        <v>5.55873475</v>
      </c>
      <c r="E5" s="33" t="n">
        <v>262.07</v>
      </c>
      <c r="F5" s="34" t="n">
        <f aca="false">IF(OR(D5="",E5=""),"",D5*E5)</f>
        <v>1456.7776159325</v>
      </c>
      <c r="G5" s="33" t="n">
        <v>892.67</v>
      </c>
      <c r="H5" s="34" t="n">
        <f aca="false">IF(OR(D5="",G5=""),"",D5*G5)</f>
        <v>4962.1157492825</v>
      </c>
      <c r="I5" s="34" t="n">
        <f aca="false">IF(OR(F5="",H5=""),"",H5-F5)</f>
        <v>3505.33813335</v>
      </c>
      <c r="J5" s="35" t="n">
        <f aca="false">IF(OR(F5="",F5=0,I5=""),"",I5/F5)</f>
        <v>2.40622734383943</v>
      </c>
      <c r="K5" s="31"/>
      <c r="L5" s="37" t="str">
        <f aca="false">IF(K5="","",K5+366)</f>
        <v/>
      </c>
      <c r="M5" s="42" t="str">
        <f aca="true">IF(K5="","enter buy date",IF(TODAY()&gt;=L5,"FUNDING UNLOCKED",L5-TODAY()&amp;" days to go"))</f>
        <v>enter buy date</v>
      </c>
      <c r="N5" s="30"/>
      <c r="O5" s="30" t="s">
        <v>161</v>
      </c>
    </row>
    <row r="6" customFormat="false" ht="15" hidden="false" customHeight="true" outlineLevel="0" collapsed="false">
      <c r="A6" s="30" t="s">
        <v>162</v>
      </c>
      <c r="B6" s="30" t="s">
        <v>159</v>
      </c>
      <c r="C6" s="30" t="s">
        <v>160</v>
      </c>
      <c r="D6" s="32" t="n">
        <v>4.39095828</v>
      </c>
      <c r="E6" s="33" t="n">
        <v>228.66</v>
      </c>
      <c r="F6" s="34" t="n">
        <f aca="false">IF(OR(D6="",E6=""),"",D6*E6)</f>
        <v>1004.0365203048</v>
      </c>
      <c r="G6" s="33" t="n">
        <v>546.62</v>
      </c>
      <c r="H6" s="34" t="n">
        <f aca="false">IF(OR(D6="",G6=""),"",D6*G6)</f>
        <v>2400.1856150136</v>
      </c>
      <c r="I6" s="34" t="n">
        <f aca="false">IF(OR(F6="",H6=""),"",H6-F6)</f>
        <v>1396.1490947088</v>
      </c>
      <c r="J6" s="35" t="n">
        <f aca="false">IF(OR(F6="",F6=0,I6=""),"",I6/F6)</f>
        <v>1.3905361672352</v>
      </c>
      <c r="K6" s="31"/>
      <c r="L6" s="37" t="str">
        <f aca="false">IF(K6="","",K6+366)</f>
        <v/>
      </c>
      <c r="M6" s="42" t="str">
        <f aca="true">IF(K6="","enter buy date",IF(TODAY()&gt;=L6,"FUNDING UNLOCKED",L6-TODAY()&amp;" days to go"))</f>
        <v>enter buy date</v>
      </c>
      <c r="N6" s="30"/>
      <c r="O6" s="30"/>
    </row>
    <row r="7" customFormat="false" ht="15" hidden="false" customHeight="true" outlineLevel="0" collapsed="false">
      <c r="A7" s="30" t="s">
        <v>163</v>
      </c>
      <c r="B7" s="30" t="s">
        <v>159</v>
      </c>
      <c r="C7" s="30" t="s">
        <v>160</v>
      </c>
      <c r="D7" s="32" t="n">
        <v>38.98181005</v>
      </c>
      <c r="E7" s="33" t="n">
        <v>31.03</v>
      </c>
      <c r="F7" s="34" t="n">
        <f aca="false">IF(OR(D7="",E7=""),"",D7*E7)</f>
        <v>1209.6055658515</v>
      </c>
      <c r="G7" s="33" t="n">
        <v>55.87</v>
      </c>
      <c r="H7" s="34" t="n">
        <f aca="false">IF(OR(D7="",G7=""),"",D7*G7)</f>
        <v>2177.9137274935</v>
      </c>
      <c r="I7" s="34" t="n">
        <f aca="false">IF(OR(F7="",H7=""),"",H7-F7)</f>
        <v>968.308161642</v>
      </c>
      <c r="J7" s="35" t="n">
        <f aca="false">IF(OR(F7="",F7=0,I7=""),"",I7/F7)</f>
        <v>0.80051563003545</v>
      </c>
      <c r="K7" s="31"/>
      <c r="L7" s="37" t="str">
        <f aca="false">IF(K7="","",K7+366)</f>
        <v/>
      </c>
      <c r="M7" s="42" t="str">
        <f aca="true">IF(K7="","enter buy date",IF(TODAY()&gt;=L7,"FUNDING UNLOCKED",L7-TODAY()&amp;" days to go"))</f>
        <v>enter buy date</v>
      </c>
      <c r="N7" s="30"/>
      <c r="O7" s="30"/>
    </row>
    <row r="8" customFormat="false" ht="15" hidden="false" customHeight="true" outlineLevel="0" collapsed="false">
      <c r="A8" s="30" t="s">
        <v>164</v>
      </c>
      <c r="B8" s="30" t="s">
        <v>159</v>
      </c>
      <c r="C8" s="30" t="s">
        <v>160</v>
      </c>
      <c r="D8" s="32" t="n">
        <v>1.18684799</v>
      </c>
      <c r="E8" s="33" t="n">
        <v>1015.39</v>
      </c>
      <c r="F8" s="34" t="n">
        <f aca="false">IF(OR(D8="",E8=""),"",D8*E8)</f>
        <v>1205.1135805661</v>
      </c>
      <c r="G8" s="33" t="n">
        <v>1711.89</v>
      </c>
      <c r="H8" s="34" t="n">
        <f aca="false">IF(OR(D8="",G8=""),"",D8*G8)</f>
        <v>2031.7532056011</v>
      </c>
      <c r="I8" s="34" t="n">
        <f aca="false">IF(OR(F8="",H8=""),"",H8-F8)</f>
        <v>826.639625035</v>
      </c>
      <c r="J8" s="35" t="n">
        <f aca="false">IF(OR(F8="",F8=0,I8=""),"",I8/F8)</f>
        <v>0.685943332118693</v>
      </c>
      <c r="K8" s="31"/>
      <c r="L8" s="37" t="str">
        <f aca="false">IF(K8="","",K8+366)</f>
        <v/>
      </c>
      <c r="M8" s="42" t="str">
        <f aca="true">IF(K8="","enter buy date",IF(TODAY()&gt;=L8,"FUNDING UNLOCKED",L8-TODAY()&amp;" days to go"))</f>
        <v>enter buy date</v>
      </c>
      <c r="N8" s="30"/>
      <c r="O8" s="30"/>
    </row>
    <row r="9" customFormat="false" ht="15" hidden="false" customHeight="true" outlineLevel="0" collapsed="false">
      <c r="A9" s="30" t="s">
        <v>165</v>
      </c>
      <c r="B9" s="30" t="s">
        <v>159</v>
      </c>
      <c r="C9" s="30" t="s">
        <v>160</v>
      </c>
      <c r="D9" s="32" t="n">
        <v>3.38595508</v>
      </c>
      <c r="E9" s="33" t="n">
        <v>296.26</v>
      </c>
      <c r="F9" s="34" t="n">
        <f aca="false">IF(OR(D9="",E9=""),"",D9*E9)</f>
        <v>1003.1230520008</v>
      </c>
      <c r="G9" s="33" t="n">
        <v>542.21</v>
      </c>
      <c r="H9" s="34" t="n">
        <f aca="false">IF(OR(D9="",G9=""),"",D9*G9)</f>
        <v>1835.8987039268</v>
      </c>
      <c r="I9" s="34" t="n">
        <f aca="false">IF(OR(F9="",H9=""),"",H9-F9)</f>
        <v>832.775651926</v>
      </c>
      <c r="J9" s="35" t="n">
        <f aca="false">IF(OR(F9="",F9=0,I9=""),"",I9/F9)</f>
        <v>0.830182947411058</v>
      </c>
      <c r="K9" s="31"/>
      <c r="L9" s="37" t="str">
        <f aca="false">IF(K9="","",K9+366)</f>
        <v/>
      </c>
      <c r="M9" s="42" t="str">
        <f aca="true">IF(K9="","enter buy date",IF(TODAY()&gt;=L9,"FUNDING UNLOCKED",L9-TODAY()&amp;" days to go"))</f>
        <v>enter buy date</v>
      </c>
      <c r="N9" s="30"/>
      <c r="O9" s="30"/>
    </row>
    <row r="10" customFormat="false" ht="15" hidden="false" customHeight="true" outlineLevel="0" collapsed="false">
      <c r="A10" s="30" t="s">
        <v>61</v>
      </c>
      <c r="B10" s="30" t="s">
        <v>159</v>
      </c>
      <c r="C10" s="30" t="s">
        <v>160</v>
      </c>
      <c r="D10" s="32" t="n">
        <v>9.01876715</v>
      </c>
      <c r="E10" s="33" t="n">
        <v>110.88</v>
      </c>
      <c r="F10" s="34" t="n">
        <f aca="false">IF(OR(D10="",E10=""),"",D10*E10)</f>
        <v>1000.000901592</v>
      </c>
      <c r="G10" s="33" t="n">
        <v>225.74</v>
      </c>
      <c r="H10" s="34" t="n">
        <f aca="false">IF(OR(D10="",G10=""),"",D10*G10)</f>
        <v>2035.896496441</v>
      </c>
      <c r="I10" s="34" t="n">
        <f aca="false">IF(OR(F10="",H10=""),"",H10-F10)</f>
        <v>1035.895594849</v>
      </c>
      <c r="J10" s="35" t="n">
        <f aca="false">IF(OR(F10="",F10=0,I10=""),"",I10/F10)</f>
        <v>1.03589466089466</v>
      </c>
      <c r="K10" s="31"/>
      <c r="L10" s="37" t="str">
        <f aca="false">IF(K10="","",K10+366)</f>
        <v/>
      </c>
      <c r="M10" s="42" t="str">
        <f aca="true">IF(K10="","enter buy date",IF(TODAY()&gt;=L10,"FUNDING UNLOCKED",L10-TODAY()&amp;" days to go"))</f>
        <v>enter buy date</v>
      </c>
      <c r="N10" s="30"/>
      <c r="O10" s="30"/>
    </row>
    <row r="11" customFormat="false" ht="15" hidden="false" customHeight="true" outlineLevel="0" collapsed="false">
      <c r="A11" s="30" t="s">
        <v>166</v>
      </c>
      <c r="B11" s="30" t="s">
        <v>159</v>
      </c>
      <c r="C11" s="30" t="s">
        <v>160</v>
      </c>
      <c r="D11" s="32" t="n">
        <v>1.67270758</v>
      </c>
      <c r="E11" s="33" t="n">
        <v>239.14</v>
      </c>
      <c r="F11" s="34" t="n">
        <f aca="false">IF(OR(D11="",E11=""),"",D11*E11)</f>
        <v>400.0112906812</v>
      </c>
      <c r="G11" s="33" t="n">
        <v>518.58</v>
      </c>
      <c r="H11" s="34" t="n">
        <f aca="false">IF(OR(D11="",G11=""),"",D11*G11)</f>
        <v>867.4326968364</v>
      </c>
      <c r="I11" s="34" t="n">
        <f aca="false">IF(OR(F11="",H11=""),"",H11-F11)</f>
        <v>467.4214061552</v>
      </c>
      <c r="J11" s="35" t="n">
        <f aca="false">IF(OR(F11="",F11=0,I11=""),"",I11/F11)</f>
        <v>1.168520531906</v>
      </c>
      <c r="K11" s="31"/>
      <c r="L11" s="37" t="str">
        <f aca="false">IF(K11="","",K11+366)</f>
        <v/>
      </c>
      <c r="M11" s="42" t="str">
        <f aca="true">IF(K11="","enter buy date",IF(TODAY()&gt;=L11,"FUNDING UNLOCKED",L11-TODAY()&amp;" days to go"))</f>
        <v>enter buy date</v>
      </c>
      <c r="N11" s="30"/>
      <c r="O11" s="30"/>
    </row>
    <row r="12" customFormat="false" ht="15" hidden="false" customHeight="true" outlineLevel="0" collapsed="false">
      <c r="A12" s="30" t="s">
        <v>167</v>
      </c>
      <c r="B12" s="30" t="s">
        <v>159</v>
      </c>
      <c r="C12" s="30" t="s">
        <v>160</v>
      </c>
      <c r="D12" s="32" t="n">
        <v>2.82930485</v>
      </c>
      <c r="E12" s="33" t="n">
        <v>355.39</v>
      </c>
      <c r="F12" s="34" t="n">
        <f aca="false">IF(OR(D12="",E12=""),"",D12*E12)</f>
        <v>1005.5066506415</v>
      </c>
      <c r="G12" s="33" t="n">
        <v>418.16</v>
      </c>
      <c r="H12" s="34" t="n">
        <f aca="false">IF(OR(D12="",G12=""),"",D12*G12)</f>
        <v>1183.102116076</v>
      </c>
      <c r="I12" s="34" t="n">
        <f aca="false">IF(OR(F12="",H12=""),"",H12-F12)</f>
        <v>177.5954654345</v>
      </c>
      <c r="J12" s="35" t="n">
        <f aca="false">IF(OR(F12="",F12=0,I12=""),"",I12/F12)</f>
        <v>0.176622865021526</v>
      </c>
      <c r="K12" s="31"/>
      <c r="L12" s="37" t="str">
        <f aca="false">IF(K12="","",K12+366)</f>
        <v/>
      </c>
      <c r="M12" s="42" t="str">
        <f aca="true">IF(K12="","enter buy date",IF(TODAY()&gt;=L12,"FUNDING UNLOCKED",L12-TODAY()&amp;" days to go"))</f>
        <v>enter buy date</v>
      </c>
      <c r="N12" s="30"/>
      <c r="O12" s="30"/>
    </row>
    <row r="13" customFormat="false" ht="15" hidden="false" customHeight="true" outlineLevel="0" collapsed="false">
      <c r="A13" s="30" t="s">
        <v>168</v>
      </c>
      <c r="B13" s="30" t="s">
        <v>159</v>
      </c>
      <c r="C13" s="30" t="s">
        <v>169</v>
      </c>
      <c r="D13" s="32" t="n">
        <v>3.81088169</v>
      </c>
      <c r="E13" s="33" t="n">
        <v>289.27</v>
      </c>
      <c r="F13" s="34" t="n">
        <f aca="false">IF(OR(D13="",E13=""),"",D13*E13)</f>
        <v>1102.3737464663</v>
      </c>
      <c r="G13" s="33" t="n">
        <v>377.65</v>
      </c>
      <c r="H13" s="34" t="n">
        <f aca="false">IF(OR(D13="",G13=""),"",D13*G13)</f>
        <v>1439.1794702285</v>
      </c>
      <c r="I13" s="34" t="n">
        <f aca="false">IF(OR(F13="",H13=""),"",H13-F13)</f>
        <v>336.8057237622</v>
      </c>
      <c r="J13" s="35" t="n">
        <f aca="false">IF(OR(F13="",F13=0,I13=""),"",I13/F13)</f>
        <v>0.305527707677948</v>
      </c>
      <c r="K13" s="31"/>
      <c r="L13" s="37" t="str">
        <f aca="false">IF(K13="","",K13+366)</f>
        <v/>
      </c>
      <c r="M13" s="42" t="str">
        <f aca="true">IF(K13="","enter buy date",IF(TODAY()&gt;=L13,"FUNDING UNLOCKED",L13-TODAY()&amp;" days to go"))</f>
        <v>enter buy date</v>
      </c>
      <c r="N13" s="30"/>
      <c r="O13" s="30"/>
    </row>
    <row r="14" customFormat="false" ht="15" hidden="false" customHeight="true" outlineLevel="0" collapsed="false">
      <c r="A14" s="30" t="s">
        <v>170</v>
      </c>
      <c r="B14" s="30" t="s">
        <v>159</v>
      </c>
      <c r="C14" s="30" t="s">
        <v>169</v>
      </c>
      <c r="D14" s="32" t="n">
        <v>3.77643504</v>
      </c>
      <c r="E14" s="33" t="n">
        <v>132.4</v>
      </c>
      <c r="F14" s="34" t="n">
        <f aca="false">IF(OR(D14="",E14=""),"",D14*E14)</f>
        <v>499.999999296</v>
      </c>
      <c r="G14" s="33" t="n">
        <v>159.89</v>
      </c>
      <c r="H14" s="34" t="n">
        <f aca="false">IF(OR(D14="",G14=""),"",D14*G14)</f>
        <v>603.8141985456</v>
      </c>
      <c r="I14" s="34" t="n">
        <f aca="false">IF(OR(F14="",H14=""),"",H14-F14)</f>
        <v>103.8141992496</v>
      </c>
      <c r="J14" s="35" t="n">
        <f aca="false">IF(OR(F14="",F14=0,I14=""),"",I14/F14)</f>
        <v>0.207628398791541</v>
      </c>
      <c r="K14" s="31"/>
      <c r="L14" s="37" t="str">
        <f aca="false">IF(K14="","",K14+366)</f>
        <v/>
      </c>
      <c r="M14" s="42" t="str">
        <f aca="true">IF(K14="","enter buy date",IF(TODAY()&gt;=L14,"FUNDING UNLOCKED",L14-TODAY()&amp;" days to go"))</f>
        <v>enter buy date</v>
      </c>
      <c r="N14" s="30"/>
      <c r="O14" s="30" t="s">
        <v>171</v>
      </c>
    </row>
    <row r="15" customFormat="false" ht="15" hidden="false" customHeight="true" outlineLevel="0" collapsed="false">
      <c r="A15" s="30" t="s">
        <v>172</v>
      </c>
      <c r="B15" s="30" t="s">
        <v>173</v>
      </c>
      <c r="C15" s="30" t="s">
        <v>160</v>
      </c>
      <c r="D15" s="32"/>
      <c r="E15" s="33"/>
      <c r="F15" s="34" t="str">
        <f aca="false">IF(OR(D15="",E15=""),"",D15*E15)</f>
        <v/>
      </c>
      <c r="G15" s="33"/>
      <c r="H15" s="34" t="str">
        <f aca="false">IF(OR(D15="",G15=""),"",D15*G15)</f>
        <v/>
      </c>
      <c r="I15" s="34" t="str">
        <f aca="false">IF(OR(F15="",H15=""),"",H15-F15)</f>
        <v/>
      </c>
      <c r="J15" s="35" t="str">
        <f aca="false">IF(OR(F15="",F15=0,I15=""),"",I15/F15)</f>
        <v/>
      </c>
      <c r="K15" s="31"/>
      <c r="L15" s="37" t="str">
        <f aca="false">IF(K15="","",K15+366)</f>
        <v/>
      </c>
      <c r="M15" s="42" t="str">
        <f aca="true">IF(K15="","enter buy date",IF(TODAY()&gt;=L15,"FUNDING UNLOCKED",L15-TODAY()&amp;" days to go"))</f>
        <v>enter buy date</v>
      </c>
      <c r="N15" s="30"/>
      <c r="O15" s="30" t="s">
        <v>174</v>
      </c>
    </row>
    <row r="16" customFormat="false" ht="15" hidden="false" customHeight="true" outlineLevel="0" collapsed="false">
      <c r="A16" s="30" t="s">
        <v>175</v>
      </c>
      <c r="B16" s="30" t="s">
        <v>173</v>
      </c>
      <c r="C16" s="30" t="s">
        <v>176</v>
      </c>
      <c r="D16" s="32"/>
      <c r="E16" s="33"/>
      <c r="F16" s="34" t="str">
        <f aca="false">IF(OR(D16="",E16=""),"",D16*E16)</f>
        <v/>
      </c>
      <c r="G16" s="33"/>
      <c r="H16" s="34" t="str">
        <f aca="false">IF(OR(D16="",G16=""),"",D16*G16)</f>
        <v/>
      </c>
      <c r="I16" s="34" t="str">
        <f aca="false">IF(OR(F16="",H16=""),"",H16-F16)</f>
        <v/>
      </c>
      <c r="J16" s="35" t="str">
        <f aca="false">IF(OR(F16="",F16=0,I16=""),"",I16/F16)</f>
        <v/>
      </c>
      <c r="K16" s="31"/>
      <c r="L16" s="37" t="str">
        <f aca="false">IF(K16="","",K16+366)</f>
        <v/>
      </c>
      <c r="M16" s="42" t="str">
        <f aca="true">IF(K16="","enter buy date",IF(TODAY()&gt;=L16,"FUNDING UNLOCKED",L16-TODAY()&amp;" days to go"))</f>
        <v>enter buy date</v>
      </c>
      <c r="N16" s="30"/>
      <c r="O16" s="30" t="s">
        <v>174</v>
      </c>
    </row>
    <row r="17" customFormat="false" ht="15" hidden="false" customHeight="true" outlineLevel="0" collapsed="false">
      <c r="A17" s="30" t="s">
        <v>177</v>
      </c>
      <c r="B17" s="30" t="s">
        <v>159</v>
      </c>
      <c r="C17" s="30" t="s">
        <v>178</v>
      </c>
      <c r="D17" s="32" t="n">
        <v>31.33597956</v>
      </c>
      <c r="E17" s="33" t="n">
        <v>380.86</v>
      </c>
      <c r="F17" s="34" t="n">
        <f aca="false">IF(OR(D17="",E17=""),"",D17*E17)</f>
        <v>11934.6211752216</v>
      </c>
      <c r="G17" s="33" t="n">
        <v>97.65</v>
      </c>
      <c r="H17" s="34" t="n">
        <f aca="false">IF(OR(D17="",G17=""),"",D17*G17)</f>
        <v>3059.958404034</v>
      </c>
      <c r="I17" s="34" t="n">
        <f aca="false">IF(OR(F17="",H17=""),"",H17-F17)</f>
        <v>-8874.6627711876</v>
      </c>
      <c r="J17" s="35" t="n">
        <f aca="false">IF(OR(F17="",F17=0,I17=""),"",I17/F17)</f>
        <v>-0.743606574594339</v>
      </c>
      <c r="K17" s="31"/>
      <c r="L17" s="37" t="str">
        <f aca="false">IF(K17="","",K17+366)</f>
        <v/>
      </c>
      <c r="M17" s="42" t="str">
        <f aca="true">IF(K17="","enter buy date",IF(TODAY()&gt;=L17,"FUNDING UNLOCKED",L17-TODAY()&amp;" days to go"))</f>
        <v>enter buy date</v>
      </c>
      <c r="N17" s="30"/>
      <c r="O17" s="30" t="s">
        <v>179</v>
      </c>
    </row>
    <row r="19" customFormat="false" ht="15" hidden="false" customHeight="true" outlineLevel="0" collapsed="false">
      <c r="A19" s="7" t="s">
        <v>180</v>
      </c>
      <c r="F19" s="38" t="n">
        <f aca="false">SUM(F5:F17)</f>
        <v>21821.1700985543</v>
      </c>
      <c r="H19" s="38" t="n">
        <f aca="false">SUM(H5:H17)</f>
        <v>22597.250383479</v>
      </c>
      <c r="I19" s="38" t="n">
        <f aca="false">SUM(I5:I17)</f>
        <v>776.080284924699</v>
      </c>
    </row>
    <row r="21" customFormat="false" ht="15" hidden="false" customHeight="true" outlineLevel="0" collapsed="false">
      <c r="A21" s="7" t="s">
        <v>181</v>
      </c>
    </row>
    <row r="22" customFormat="false" ht="15" hidden="false" customHeight="true" outlineLevel="0" collapsed="false">
      <c r="A22" s="1" t="s">
        <v>182</v>
      </c>
      <c r="B22" s="53" t="n">
        <f aca="false">SUMIFS(H5:H17,C5:C17,"Semi/AI")</f>
        <v>17494.2983106709</v>
      </c>
    </row>
    <row r="23" customFormat="false" ht="15" hidden="false" customHeight="true" outlineLevel="0" collapsed="false">
      <c r="A23" s="1" t="s">
        <v>183</v>
      </c>
      <c r="B23" s="53" t="n">
        <f aca="false">B22+SUMIFS(H5:H17,C5:C17,"AI-adjacent")</f>
        <v>19537.291979445</v>
      </c>
    </row>
    <row r="24" customFormat="false" ht="15" hidden="false" customHeight="true" outlineLevel="0" collapsed="false">
      <c r="A24" s="1" t="s">
        <v>184</v>
      </c>
      <c r="B24" s="55" t="n">
        <f aca="false">IF(H19=0,"",B22/H19)</f>
        <v>0.774178186008909</v>
      </c>
    </row>
    <row r="25" customFormat="false" ht="15" hidden="false" customHeight="true" outlineLevel="0" collapsed="false">
      <c r="A25" s="1" t="s">
        <v>185</v>
      </c>
      <c r="B25" s="55" t="n">
        <f aca="false">IF(H19=0,"",B23/H19)</f>
        <v>0.864587135509586</v>
      </c>
    </row>
    <row r="26" customFormat="false" ht="15" hidden="false" customHeight="true" outlineLevel="0" collapsed="false">
      <c r="A26" s="1" t="s">
        <v>186</v>
      </c>
      <c r="B26" s="56" t="n">
        <v>0.5</v>
      </c>
    </row>
    <row r="27" customFormat="false" ht="15" hidden="false" customHeight="true" outlineLevel="0" collapsed="false">
      <c r="A27" s="1" t="s">
        <v>118</v>
      </c>
      <c r="B27" s="57" t="str">
        <f aca="false">IF(B24="","",IF(B24&gt;B26,"OVER CAP — trim semis first","within cap"))</f>
        <v>OVER CAP — trim semis first</v>
      </c>
    </row>
    <row r="29" customFormat="false" ht="15" hidden="false" customHeight="true" outlineLevel="0" collapsed="false">
      <c r="A29" s="29" t="s">
        <v>187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2026-08-04T21:53:31Z</dcterms:created>
  <dc:creator>openpyxl</dc:creator>
  <dc:description/>
  <dc:language>en-US</dc:language>
  <cp:lastModifiedBy/>
  <dcterms:modified xsi:type="dcterms:W3CDTF">2026-08-04T22:04:34Z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